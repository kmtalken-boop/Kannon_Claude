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oster" sheetId="2" state="visible" r:id="rId2"/>
    <sheet name="ResultsLog" sheetId="3" state="visible" r:id="rId3"/>
    <sheet name="PlayoffOdds" sheetId="4" state="visible" r:id="rId4"/>
    <sheet name="SeasonSnapshot" sheetId="5" state="visible" r:id="rId5"/>
    <sheet name="PlayerDetail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11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color rgb="000000FF"/>
    </font>
    <font>
      <name val="Arial"/>
      <b val="1"/>
      <color rgb="00FFFFFF"/>
    </font>
    <font>
      <name val="Arial"/>
      <i val="1"/>
      <sz val="10"/>
    </font>
    <font>
      <name val="Arial"/>
      <b val="1"/>
      <color rgb="001F4E78"/>
      <sz val="14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DDEBFF"/>
      </patternFill>
    </fill>
    <fill>
      <patternFill patternType="solid">
        <fgColor rgb="00F2F2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6" fillId="2" borderId="1" pivotButton="0" quotePrefix="0" xfId="0"/>
    <xf numFmtId="0" fontId="4" fillId="3" borderId="1" pivotButton="0" quotePrefix="0" xfId="0"/>
    <xf numFmtId="0" fontId="4" fillId="0" borderId="1" pivotButton="0" quotePrefix="0" xfId="0"/>
    <xf numFmtId="0" fontId="7" fillId="4" borderId="1" applyAlignment="1" pivotButton="0" quotePrefix="0" xfId="0">
      <alignment horizontal="center"/>
    </xf>
    <xf numFmtId="0" fontId="3" fillId="0" borderId="1" pivotButton="0" quotePrefix="0" xfId="0"/>
    <xf numFmtId="164" fontId="4" fillId="3" borderId="1" pivotButton="0" quotePrefix="0" xfId="0"/>
    <xf numFmtId="2" fontId="6" fillId="2" borderId="1" pivotButton="0" quotePrefix="0" xfId="0"/>
    <xf numFmtId="164" fontId="6" fillId="2" borderId="1" pivotButton="0" quotePrefix="0" xfId="0"/>
    <xf numFmtId="164" fontId="4" fillId="0" borderId="1" pivotButton="0" quotePrefix="0" xfId="0"/>
    <xf numFmtId="0" fontId="4" fillId="0" borderId="0" applyAlignment="1" pivotButton="0" quotePrefix="0" xfId="0">
      <alignment wrapText="1"/>
    </xf>
    <xf numFmtId="1" fontId="4" fillId="0" borderId="1" pivotButton="0" quotePrefix="0" xfId="0"/>
    <xf numFmtId="3" fontId="4" fillId="0" borderId="1" pivotButton="0" quotePrefix="0" xfId="0"/>
    <xf numFmtId="165" fontId="4" fillId="0" borderId="1" pivotButton="0" quotePrefix="0" xfId="0"/>
    <xf numFmtId="0" fontId="8" fillId="0" borderId="0" pivotButton="0" quotePrefix="0" xfId="0"/>
    <xf numFmtId="0" fontId="7" fillId="4" borderId="0" pivotButton="0" quotePrefix="0" xfId="0"/>
    <xf numFmtId="0" fontId="9" fillId="0" borderId="0" pivotButton="0" quotePrefix="0" xfId="0"/>
    <xf numFmtId="0" fontId="10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Championship odds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'PlayoffOdds'!G1</f>
            </strRef>
          </tx>
          <spPr>
            <a:ln>
              <a:prstDash val="solid"/>
            </a:ln>
          </spPr>
          <cat>
            <numRef>
              <f>'PlayoffOdds'!$A$2:$A$17</f>
            </numRef>
          </cat>
          <val>
            <numRef>
              <f>'PlayoffOdds'!$G$2:$G$17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Championship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Points by appearance (chronological)</a:t>
            </a:r>
          </a:p>
        </rich>
      </tx>
    </title>
    <plotArea>
      <lineChart>
        <grouping val="standard"/>
        <ser>
          <idx val="0"/>
          <order val="0"/>
          <tx>
            <strRef>
              <f>'PlayerDetail'!C13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'PlayerDetail'!$A$14:$A$19</f>
            </numRef>
          </cat>
          <val>
            <numRef>
              <f>'PlayerDetail'!$C$14:$C$19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Appearance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osterTable" displayName="RosterTable" ref="A1:I17" headerRowCount="1">
  <autoFilter ref="A1:I17"/>
  <tableColumns count="9">
    <tableColumn id="1" name="Group"/>
    <tableColumn id="2" name="Player"/>
    <tableColumn id="3" name="Fitted Skill"/>
    <tableColumn id="4" name="Adjustment Multiplier"/>
    <tableColumn id="5" name="Manual Override"/>
    <tableColumn id="6" name="Effective Skill"/>
    <tableColumn id="7" name="Games (History)"/>
    <tableColumn id="8" name="Avg Points (Real)"/>
    <tableColumn id="9" name="Notes"/>
  </tableColumns>
  <tableStyleInfo name="TableStyleMedium2" showFirstColumn="0" showRowStripes="1"/>
</table>
</file>

<file path=xl/tables/table2.xml><?xml version="1.0" encoding="utf-8"?>
<table xmlns="http://schemas.openxmlformats.org/spreadsheetml/2006/main" id="2" name="ResultsLogTable" displayName="ResultsLogTable" ref="A1:E61" headerRowCount="1">
  <autoFilter ref="A1:E61"/>
  <tableColumns count="5">
    <tableColumn id="1" name="Event"/>
    <tableColumn id="2" name="Phase"/>
    <tableColumn id="3" name="Player"/>
    <tableColumn id="4" name="Placement"/>
    <tableColumn id="5" name="Points"/>
  </tableColumns>
  <tableStyleInfo name="TableStyleMedium2" showFirstColumn="0" showRowStripes="1"/>
</table>
</file>

<file path=xl/tables/table3.xml><?xml version="1.0" encoding="utf-8"?>
<table xmlns="http://schemas.openxmlformats.org/spreadsheetml/2006/main" id="3" name="PlayoffOddsTable" displayName="PlayoffOddsTable" ref="A1:G17" headerRowCount="1">
  <autoFilter ref="A1:G17"/>
  <tableColumns count="7">
    <tableColumn id="1" name="Player"/>
    <tableColumn id="2" name="Group"/>
    <tableColumn id="3" name="Effective Skill"/>
    <tableColumn id="4" name="Avg Season Points (sim)"/>
    <tableColumn id="5" name="Playoff %"/>
    <tableColumn id="6" name="Finals %"/>
    <tableColumn id="7" name="Championship %"/>
  </tableColumns>
  <tableStyleInfo name="TableStyleMedium2" showFirstColumn="0" showRowStripes="1"/>
</table>
</file>

<file path=xl/tables/table4.xml><?xml version="1.0" encoding="utf-8"?>
<table xmlns="http://schemas.openxmlformats.org/spreadsheetml/2006/main" id="4" name="PlayerDetailTable" displayName="PlayerDetailTable" ref="A13:C19" headerRowCount="1">
  <autoFilter ref="A13:C19"/>
  <tableColumns count="3">
    <tableColumn id="1" name="#"/>
    <tableColumn id="2" name="Event"/>
    <tableColumn id="3" name="Points"/>
  </tableColumns>
  <tableStyleInfo name="TableStyleMedium2" showFir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3.xml" Id="rId2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4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" t="inlineStr">
        <is>
          <t>Beerio Kart League Dashboard</t>
        </is>
      </c>
    </row>
    <row r="2">
      <c r="A2" s="2" t="inlineStr">
        <is>
          <t>Predictive model + real-history skill calibration</t>
        </is>
      </c>
    </row>
    <row r="4">
      <c r="A4" s="3" t="inlineStr">
        <is>
          <t>Generated</t>
        </is>
      </c>
      <c r="B4" s="4" t="inlineStr">
        <is>
          <t>2026-09-21</t>
        </is>
      </c>
    </row>
    <row r="5">
      <c r="A5" s="3" t="inlineStr">
        <is>
          <t>Monte Carlo sims / seed</t>
        </is>
      </c>
      <c r="B5" s="4" t="inlineStr">
        <is>
          <t>20,000 simulated seasons, seed=42</t>
        </is>
      </c>
    </row>
    <row r="6">
      <c r="A6" s="3" t="inlineStr">
        <is>
          <t>Snapshot season seed</t>
        </is>
      </c>
      <c r="B6" s="4" t="inlineStr">
        <is>
          <t>7</t>
        </is>
      </c>
    </row>
    <row r="8">
      <c r="A8" s="5" t="inlineStr">
        <is>
          <t>League format</t>
        </is>
      </c>
    </row>
    <row r="9" ht="30" customHeight="1">
      <c r="A9" s="6" t="inlineStr">
        <is>
          <t>• 16 players in 4 fixed groups of 4 (A-D).</t>
        </is>
      </c>
    </row>
    <row r="10" ht="30" customHeight="1">
      <c r="A10" s="6" t="inlineStr">
        <is>
          <t>• Each group plays a match once a month for 3 months; standings are total points across those 3 matches.</t>
        </is>
      </c>
    </row>
    <row r="11" ht="30" customHeight="1">
      <c r="A11" s="6" t="inlineStr">
        <is>
          <t>• Each match races Mario Kart Wii's full 32-race GP structure (8 cups x 4 tracks), MKWii's own points table for a 4-driver field: 1st=15, 2nd=12, 3rd=10, 4th=8.</t>
        </is>
      </c>
    </row>
    <row r="12" ht="30" customHeight="1">
      <c r="A12" s="6" t="inlineStr">
        <is>
          <t>• Each player must drink 8 beers across their match's 32 races; a random selector decides which races trigger each beer, and accumulated impairment drags down effective skill for the rest of that match.</t>
        </is>
      </c>
    </row>
    <row r="13" ht="30" customHeight="1">
      <c r="A13" s="6" t="inlineStr">
        <is>
          <t>• Top 2 from each group (8 total) make the playoffs, seeded 1-8 by season points.</t>
        </is>
      </c>
    </row>
    <row r="14" ht="30" customHeight="1">
      <c r="A14" s="6" t="inlineStr">
        <is>
          <t>• Seeds {1,2,7,8} race as one 4-way free-for-all; seeds {3,4,5,6} race as another. Top 2 from EACH of those two matches (4 players total) advance to a single winner-take-all final.</t>
        </is>
      </c>
    </row>
    <row r="16">
      <c r="A16" s="5" t="inlineStr">
        <is>
          <t>How to use this workbook</t>
        </is>
      </c>
    </row>
    <row r="17" ht="30" customHeight="1">
      <c r="A17" s="6" t="inlineStr">
        <is>
          <t>• Roster tab: blue cells (Adjustment Multiplier, Manual Override) are meant to be edited. Everything else on that tab (Effective Skill, Games, Avg Points) recalculates live from them and from the ResultsLog tab.</t>
        </is>
      </c>
    </row>
    <row r="18" ht="30" customHeight="1">
      <c r="A18" s="6" t="inlineStr">
        <is>
          <t>• PlayoffOdds and SeasonSnapshot are a SNAPSHOT from one specific Python run (see sims/seed above) -- Excel can't re-run the Monte Carlo simulator itself. After changing Roster inputs, ask for the model to be re-run to refresh these tabs.</t>
        </is>
      </c>
    </row>
    <row r="19" ht="30" customHeight="1">
      <c r="A19" s="6" t="inlineStr">
        <is>
          <t>• ResultsLog is a plain filterable table (click the column header arrows) of every real result behind the skill ratings.</t>
        </is>
      </c>
    </row>
    <row r="20" ht="30" customHeight="1">
      <c r="A20" s="6" t="inlineStr">
        <is>
          <t>• PlayerDetail: pick a player from the dropdown in cell B2 to see their summary stats and their full chronological result history with a trend chart.</t>
        </is>
      </c>
    </row>
    <row r="22">
      <c r="A22" s="5" t="inlineStr">
        <is>
          <t>Legend</t>
        </is>
      </c>
    </row>
    <row r="23">
      <c r="A23" s="7" t="inlineStr">
        <is>
          <t>Editable input</t>
        </is>
      </c>
      <c r="B23" s="4" t="inlineStr">
        <is>
          <t>Change this to explore a what-if -- e.g. a new form adjustment.</t>
        </is>
      </c>
    </row>
    <row r="24">
      <c r="A24" s="8" t="inlineStr">
        <is>
          <t>Computed externally</t>
        </is>
      </c>
      <c r="B24" s="4" t="inlineStr">
        <is>
          <t>Value from the Python model (Plackett-Luce fit or Monte Carlo run), not a live Excel formula -- rerun the model to refresh it.</t>
        </is>
      </c>
    </row>
    <row r="25">
      <c r="A25" s="9" t="inlineStr">
        <is>
          <t>Formula</t>
        </is>
      </c>
      <c r="B25" s="4" t="inlineStr">
        <is>
          <t>Live Excel formula; recalculates automatically.</t>
        </is>
      </c>
    </row>
  </sheetData>
  <mergeCells count="10">
    <mergeCell ref="A20:B20"/>
    <mergeCell ref="A19:B19"/>
    <mergeCell ref="A11:B11"/>
    <mergeCell ref="A10:B10"/>
    <mergeCell ref="A13:B13"/>
    <mergeCell ref="A14:B14"/>
    <mergeCell ref="A18:B18"/>
    <mergeCell ref="A17:B17"/>
    <mergeCell ref="A9:B9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3" customWidth="1" min="3" max="3"/>
    <col width="20" customWidth="1" min="4" max="4"/>
    <col width="16" customWidth="1" min="5" max="5"/>
    <col width="15" customWidth="1" min="6" max="6"/>
    <col width="15" customWidth="1" min="7" max="7"/>
    <col width="16" customWidth="1" min="8" max="8"/>
    <col width="55" customWidth="1" min="9" max="9"/>
  </cols>
  <sheetData>
    <row r="1">
      <c r="A1" s="10" t="inlineStr">
        <is>
          <t>Group</t>
        </is>
      </c>
      <c r="B1" s="10" t="inlineStr">
        <is>
          <t>Player</t>
        </is>
      </c>
      <c r="C1" s="10" t="inlineStr">
        <is>
          <t>Fitted Skill</t>
        </is>
      </c>
      <c r="D1" s="10" t="inlineStr">
        <is>
          <t>Adjustment Multiplier</t>
        </is>
      </c>
      <c r="E1" s="10" t="inlineStr">
        <is>
          <t>Manual Override</t>
        </is>
      </c>
      <c r="F1" s="10" t="inlineStr">
        <is>
          <t>Effective Skill</t>
        </is>
      </c>
      <c r="G1" s="10" t="inlineStr">
        <is>
          <t>Games (History)</t>
        </is>
      </c>
      <c r="H1" s="10" t="inlineStr">
        <is>
          <t>Avg Points (Real)</t>
        </is>
      </c>
      <c r="I1" s="10" t="inlineStr">
        <is>
          <t>Notes</t>
        </is>
      </c>
    </row>
    <row r="2">
      <c r="A2" s="9" t="inlineStr">
        <is>
          <t>A</t>
        </is>
      </c>
      <c r="B2" s="11" t="inlineStr">
        <is>
          <t>Kannon</t>
        </is>
      </c>
      <c r="C2" s="12" t="n">
        <v>2463.915575514961</v>
      </c>
      <c r="D2" s="13" t="n">
        <v>1</v>
      </c>
      <c r="E2" s="14" t="n"/>
      <c r="F2" s="15">
        <f>IF(E2="",C2*D2,E2)</f>
        <v/>
      </c>
      <c r="G2" s="9">
        <f>COUNTIF(ResultsLog!$C$2:$C$61,B2)</f>
        <v/>
      </c>
      <c r="H2" s="15">
        <f>IFERROR(AVERAGEIF(ResultsLog!$C$2:$C$61,B2,ResultsLog!$E$2:$E$61),"n/a")</f>
        <v/>
      </c>
      <c r="I2" s="9" t="inlineStr"/>
    </row>
    <row r="3">
      <c r="A3" s="9" t="inlineStr">
        <is>
          <t>A</t>
        </is>
      </c>
      <c r="B3" s="11" t="inlineStr">
        <is>
          <t>Jack</t>
        </is>
      </c>
      <c r="C3" s="12" t="n">
        <v>1668.582578064871</v>
      </c>
      <c r="D3" s="13" t="n">
        <v>1</v>
      </c>
      <c r="E3" s="14" t="n"/>
      <c r="F3" s="15">
        <f>IF(E3="",C3*D3,E3)</f>
        <v/>
      </c>
      <c r="G3" s="9">
        <f>COUNTIF(ResultsLog!$C$2:$C$61,B3)</f>
        <v/>
      </c>
      <c r="H3" s="15">
        <f>IFERROR(AVERAGEIF(ResultsLog!$C$2:$C$61,B3,ResultsLog!$E$2:$E$61),"n/a")</f>
        <v/>
      </c>
      <c r="I3" s="9" t="inlineStr"/>
    </row>
    <row r="4">
      <c r="A4" s="9" t="inlineStr">
        <is>
          <t>A</t>
        </is>
      </c>
      <c r="B4" s="11" t="inlineStr">
        <is>
          <t>Christian</t>
        </is>
      </c>
      <c r="C4" s="12" t="n">
        <v>814.0388860134917</v>
      </c>
      <c r="D4" s="13" t="n">
        <v>1</v>
      </c>
      <c r="E4" s="14" t="n"/>
      <c r="F4" s="15">
        <f>IF(E4="",C4*D4,E4)</f>
        <v/>
      </c>
      <c r="G4" s="9">
        <f>COUNTIF(ResultsLog!$C$2:$C$61,B4)</f>
        <v/>
      </c>
      <c r="H4" s="15">
        <f>IFERROR(AVERAGEIF(ResultsLog!$C$2:$C$61,B4,ResultsLog!$E$2:$E$61),"n/a")</f>
        <v/>
      </c>
      <c r="I4" s="9" t="inlineStr"/>
    </row>
    <row r="5">
      <c r="A5" s="9" t="inlineStr">
        <is>
          <t>A</t>
        </is>
      </c>
      <c r="B5" s="11" t="inlineStr">
        <is>
          <t>Peter</t>
        </is>
      </c>
      <c r="C5" s="12" t="n">
        <v>290.5225402174265</v>
      </c>
      <c r="D5" s="13" t="n">
        <v>1</v>
      </c>
      <c r="E5" s="14" t="n"/>
      <c r="F5" s="15">
        <f>IF(E5="",C5*D5,E5)</f>
        <v/>
      </c>
      <c r="G5" s="9">
        <f>COUNTIF(ResultsLog!$C$2:$C$61,B5)</f>
        <v/>
      </c>
      <c r="H5" s="15">
        <f>IFERROR(AVERAGEIF(ResultsLog!$C$2:$C$61,B5,ResultsLog!$E$2:$E$61),"n/a")</f>
        <v/>
      </c>
      <c r="I5" s="9" t="inlineStr"/>
    </row>
    <row r="6">
      <c r="A6" s="9" t="inlineStr">
        <is>
          <t>B</t>
        </is>
      </c>
      <c r="B6" s="11" t="inlineStr">
        <is>
          <t>Sam</t>
        </is>
      </c>
      <c r="C6" s="12" t="n">
        <v>1019.210248811397</v>
      </c>
      <c r="D6" s="13" t="n">
        <v>1</v>
      </c>
      <c r="E6" s="14" t="n"/>
      <c r="F6" s="15">
        <f>IF(E6="",C6*D6,E6)</f>
        <v/>
      </c>
      <c r="G6" s="9">
        <f>COUNTIF(ResultsLog!$C$2:$C$61,B6)</f>
        <v/>
      </c>
      <c r="H6" s="15">
        <f>IFERROR(AVERAGEIF(ResultsLog!$C$2:$C$61,B6,ResultsLog!$E$2:$E$61),"n/a")</f>
        <v/>
      </c>
      <c r="I6" s="9" t="inlineStr"/>
    </row>
    <row r="7">
      <c r="A7" s="9" t="inlineStr">
        <is>
          <t>B</t>
        </is>
      </c>
      <c r="B7" s="11" t="inlineStr">
        <is>
          <t>Jackson</t>
        </is>
      </c>
      <c r="C7" s="12" t="n">
        <v>840.5439585337813</v>
      </c>
      <c r="D7" s="13" t="n">
        <v>1</v>
      </c>
      <c r="E7" s="14" t="n"/>
      <c r="F7" s="15">
        <f>IF(E7="",C7*D7,E7)</f>
        <v/>
      </c>
      <c r="G7" s="9">
        <f>COUNTIF(ResultsLog!$C$2:$C$61,B7)</f>
        <v/>
      </c>
      <c r="H7" s="15">
        <f>IFERROR(AVERAGEIF(ResultsLog!$C$2:$C$61,B7,ResultsLog!$E$2:$E$61),"n/a")</f>
        <v/>
      </c>
      <c r="I7" s="9" t="inlineStr"/>
    </row>
    <row r="8">
      <c r="A8" s="9" t="inlineStr">
        <is>
          <t>B</t>
        </is>
      </c>
      <c r="B8" s="11" t="inlineStr">
        <is>
          <t>Max</t>
        </is>
      </c>
      <c r="C8" s="12" t="n">
        <v>375.1685687965817</v>
      </c>
      <c r="D8" s="13" t="n">
        <v>2.2</v>
      </c>
      <c r="E8" s="14" t="n"/>
      <c r="F8" s="15">
        <f>IF(E8="",C8*D8,E8)</f>
        <v/>
      </c>
      <c r="G8" s="9">
        <f>COUNTIF(ResultsLog!$C$2:$C$61,B8)</f>
        <v/>
      </c>
      <c r="H8" s="15">
        <f>IFERROR(AVERAGEIF(ResultsLog!$C$2:$C$61,B8,ResultsLog!$E$2:$E$61),"n/a")</f>
        <v/>
      </c>
      <c r="I8" s="9" t="inlineStr">
        <is>
          <t>Form-adjusted x2.2: fitted skill understates recent improvement.</t>
        </is>
      </c>
    </row>
    <row r="9">
      <c r="A9" s="9" t="inlineStr">
        <is>
          <t>B</t>
        </is>
      </c>
      <c r="B9" s="11" t="inlineStr">
        <is>
          <t>Jorgen</t>
        </is>
      </c>
      <c r="C9" s="12" t="n">
        <v>262.8494055414358</v>
      </c>
      <c r="D9" s="13" t="n">
        <v>1</v>
      </c>
      <c r="E9" s="14" t="n"/>
      <c r="F9" s="15">
        <f>IF(E9="",C9*D9,E9)</f>
        <v/>
      </c>
      <c r="G9" s="9">
        <f>COUNTIF(ResultsLog!$C$2:$C$61,B9)</f>
        <v/>
      </c>
      <c r="H9" s="15">
        <f>IFERROR(AVERAGEIF(ResultsLog!$C$2:$C$61,B9,ResultsLog!$E$2:$E$61),"n/a")</f>
        <v/>
      </c>
      <c r="I9" s="9" t="inlineStr"/>
    </row>
    <row r="10">
      <c r="A10" s="9" t="inlineStr">
        <is>
          <t>C</t>
        </is>
      </c>
      <c r="B10" s="11" t="inlineStr">
        <is>
          <t>Isaiah</t>
        </is>
      </c>
      <c r="C10" s="12" t="n">
        <v>1203.99643243172</v>
      </c>
      <c r="D10" s="13" t="n">
        <v>1</v>
      </c>
      <c r="E10" s="14" t="n"/>
      <c r="F10" s="15">
        <f>IF(E10="",C10*D10,E10)</f>
        <v/>
      </c>
      <c r="G10" s="9">
        <f>COUNTIF(ResultsLog!$C$2:$C$61,B10)</f>
        <v/>
      </c>
      <c r="H10" s="15">
        <f>IFERROR(AVERAGEIF(ResultsLog!$C$2:$C$61,B10,ResultsLog!$E$2:$E$61),"n/a")</f>
        <v/>
      </c>
      <c r="I10" s="9" t="inlineStr"/>
    </row>
    <row r="11">
      <c r="A11" s="9" t="inlineStr">
        <is>
          <t>C</t>
        </is>
      </c>
      <c r="B11" s="11" t="inlineStr">
        <is>
          <t>Harrison</t>
        </is>
      </c>
      <c r="C11" s="12" t="n">
        <v>1169.876104933184</v>
      </c>
      <c r="D11" s="13" t="n">
        <v>1</v>
      </c>
      <c r="E11" s="14" t="n"/>
      <c r="F11" s="15">
        <f>IF(E11="",C11*D11,E11)</f>
        <v/>
      </c>
      <c r="G11" s="9">
        <f>COUNTIF(ResultsLog!$C$2:$C$61,B11)</f>
        <v/>
      </c>
      <c r="H11" s="15">
        <f>IFERROR(AVERAGEIF(ResultsLog!$C$2:$C$61,B11,ResultsLog!$E$2:$E$61),"n/a")</f>
        <v/>
      </c>
      <c r="I11" s="9" t="inlineStr"/>
    </row>
    <row r="12">
      <c r="A12" s="9" t="inlineStr">
        <is>
          <t>C</t>
        </is>
      </c>
      <c r="B12" s="11" t="inlineStr">
        <is>
          <t>Cailin</t>
        </is>
      </c>
      <c r="C12" s="12" t="n">
        <v>779.9174032887895</v>
      </c>
      <c r="D12" s="13" t="n">
        <v>1</v>
      </c>
      <c r="E12" s="14" t="n"/>
      <c r="F12" s="15">
        <f>IF(E12="",C12*D12,E12)</f>
        <v/>
      </c>
      <c r="G12" s="9">
        <f>COUNTIF(ResultsLog!$C$2:$C$61,B12)</f>
        <v/>
      </c>
      <c r="H12" s="15">
        <f>IFERROR(AVERAGEIF(ResultsLog!$C$2:$C$61,B12,ResultsLog!$E$2:$E$61),"n/a")</f>
        <v/>
      </c>
      <c r="I12" s="9" t="inlineStr"/>
    </row>
    <row r="13">
      <c r="A13" s="9" t="inlineStr">
        <is>
          <t>C</t>
        </is>
      </c>
      <c r="B13" s="11" t="inlineStr">
        <is>
          <t>Ivan</t>
        </is>
      </c>
      <c r="C13" s="12" t="n">
        <v>389.9587016443948</v>
      </c>
      <c r="D13" s="13" t="n">
        <v>1</v>
      </c>
      <c r="E13" s="14" t="n"/>
      <c r="F13" s="15">
        <f>IF(E13="",C13*D13,E13)</f>
        <v/>
      </c>
      <c r="G13" s="9">
        <f>COUNTIF(ResultsLog!$C$2:$C$61,B13)</f>
        <v/>
      </c>
      <c r="H13" s="15">
        <f>IFERROR(AVERAGEIF(ResultsLog!$C$2:$C$61,B13,ResultsLog!$E$2:$E$61),"n/a")</f>
        <v/>
      </c>
      <c r="I13" s="9" t="inlineStr"/>
    </row>
    <row r="14">
      <c r="A14" s="9" t="inlineStr">
        <is>
          <t>D</t>
        </is>
      </c>
      <c r="B14" s="11" t="inlineStr">
        <is>
          <t>Stu</t>
        </is>
      </c>
      <c r="C14" s="12" t="n">
        <v>1199.030110081311</v>
      </c>
      <c r="D14" s="13" t="n">
        <v>1</v>
      </c>
      <c r="E14" s="14" t="n"/>
      <c r="F14" s="15">
        <f>IF(E14="",C14*D14,E14)</f>
        <v/>
      </c>
      <c r="G14" s="9">
        <f>COUNTIF(ResultsLog!$C$2:$C$61,B14)</f>
        <v/>
      </c>
      <c r="H14" s="15">
        <f>IFERROR(AVERAGEIF(ResultsLog!$C$2:$C$61,B14,ResultsLog!$E$2:$E$61),"n/a")</f>
        <v/>
      </c>
      <c r="I14" s="9" t="inlineStr"/>
    </row>
    <row r="15">
      <c r="A15" s="9" t="inlineStr">
        <is>
          <t>D</t>
        </is>
      </c>
      <c r="B15" s="11" t="inlineStr">
        <is>
          <t>Will</t>
        </is>
      </c>
      <c r="C15" s="12" t="n">
        <v>1126.233137145605</v>
      </c>
      <c r="D15" s="13" t="n">
        <v>1</v>
      </c>
      <c r="E15" s="14" t="n"/>
      <c r="F15" s="15">
        <f>IF(E15="",C15*D15,E15)</f>
        <v/>
      </c>
      <c r="G15" s="9">
        <f>COUNTIF(ResultsLog!$C$2:$C$61,B15)</f>
        <v/>
      </c>
      <c r="H15" s="15">
        <f>IFERROR(AVERAGEIF(ResultsLog!$C$2:$C$61,B15,ResultsLog!$E$2:$E$61),"n/a")</f>
        <v/>
      </c>
      <c r="I15" s="9" t="inlineStr"/>
    </row>
    <row r="16">
      <c r="A16" s="9" t="inlineStr">
        <is>
          <t>D</t>
        </is>
      </c>
      <c r="B16" s="11" t="inlineStr">
        <is>
          <t>Maclane</t>
        </is>
      </c>
      <c r="C16" s="12" t="n"/>
      <c r="D16" s="13" t="n">
        <v>1</v>
      </c>
      <c r="E16" s="14" t="n">
        <v>826</v>
      </c>
      <c r="F16" s="15">
        <f>IF(E16="",C16*D16,E16)</f>
        <v/>
      </c>
      <c r="G16" s="9">
        <f>COUNTIF(ResultsLog!$C$2:$C$61,B16)</f>
        <v/>
      </c>
      <c r="H16" s="15">
        <f>IFERROR(AVERAGEIF(ResultsLog!$C$2:$C$61,B16,ResultsLog!$E$2:$E$61),"n/a")</f>
        <v/>
      </c>
      <c r="I16" s="9" t="inlineStr">
        <is>
          <t>No race history yet -- manual estimate (see league read).</t>
        </is>
      </c>
    </row>
    <row r="17">
      <c r="A17" s="9" t="inlineStr">
        <is>
          <t>D</t>
        </is>
      </c>
      <c r="B17" s="11" t="inlineStr">
        <is>
          <t>Luke</t>
        </is>
      </c>
      <c r="C17" s="12" t="n"/>
      <c r="D17" s="13" t="n">
        <v>1</v>
      </c>
      <c r="E17" s="14" t="n">
        <v>826</v>
      </c>
      <c r="F17" s="15">
        <f>IF(E17="",C17*D17,E17)</f>
        <v/>
      </c>
      <c r="G17" s="9">
        <f>COUNTIF(ResultsLog!$C$2:$C$61,B17)</f>
        <v/>
      </c>
      <c r="H17" s="15">
        <f>IFERROR(AVERAGEIF(ResultsLog!$C$2:$C$61,B17,ResultsLog!$E$2:$E$61),"n/a")</f>
        <v/>
      </c>
      <c r="I17" s="9" t="inlineStr">
        <is>
          <t>No race history yet -- manual estimate (see league read).</t>
        </is>
      </c>
    </row>
    <row r="19" ht="30" customHeight="1">
      <c r="A19" s="16" t="inlineStr">
        <is>
          <t>Fitted Skill: recency-weighted Plackett-Luce MLE over all recorded results (beerio_kart.calibrate). Rerun `python3 -m beerio_kart.build_roster_from_history` after editing the blue cells to regenerate config/players_calibrated.yaml, then rerun the Monte Carlo simulator to refresh the PlayoffOdds tab.</t>
        </is>
      </c>
    </row>
  </sheetData>
  <mergeCells count="1">
    <mergeCell ref="A19:I19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12" customWidth="1" min="4" max="4"/>
    <col width="10" customWidth="1" min="5" max="5"/>
  </cols>
  <sheetData>
    <row r="1">
      <c r="A1" s="10" t="inlineStr">
        <is>
          <t>Event</t>
        </is>
      </c>
      <c r="B1" s="10" t="inlineStr">
        <is>
          <t>Phase</t>
        </is>
      </c>
      <c r="C1" s="10" t="inlineStr">
        <is>
          <t>Player</t>
        </is>
      </c>
      <c r="D1" s="10" t="inlineStr">
        <is>
          <t>Placement</t>
        </is>
      </c>
      <c r="E1" s="10" t="inlineStr">
        <is>
          <t>Points</t>
        </is>
      </c>
    </row>
    <row r="2">
      <c r="A2" s="9" t="inlineStr">
        <is>
          <t>S1 Week 1 - Group 1</t>
        </is>
      </c>
      <c r="B2" s="9" t="inlineStr">
        <is>
          <t>Season 1 - Weekly</t>
        </is>
      </c>
      <c r="C2" s="9" t="inlineStr">
        <is>
          <t>Kannon</t>
        </is>
      </c>
      <c r="D2" s="17" t="n">
        <v>1</v>
      </c>
      <c r="E2" s="18" t="n">
        <v>422</v>
      </c>
    </row>
    <row r="3">
      <c r="A3" s="9" t="inlineStr">
        <is>
          <t>S1 Week 1 - Group 1</t>
        </is>
      </c>
      <c r="B3" s="9" t="inlineStr">
        <is>
          <t>Season 1 - Weekly</t>
        </is>
      </c>
      <c r="C3" s="9" t="inlineStr">
        <is>
          <t>Jack</t>
        </is>
      </c>
      <c r="D3" s="17" t="n">
        <v>2</v>
      </c>
      <c r="E3" s="18" t="n">
        <v>359</v>
      </c>
    </row>
    <row r="4">
      <c r="A4" s="9" t="inlineStr">
        <is>
          <t>S1 Week 1 - Group 1</t>
        </is>
      </c>
      <c r="B4" s="9" t="inlineStr">
        <is>
          <t>Season 1 - Weekly</t>
        </is>
      </c>
      <c r="C4" s="9" t="inlineStr">
        <is>
          <t>Jake</t>
        </is>
      </c>
      <c r="D4" s="17" t="n">
        <v>3</v>
      </c>
      <c r="E4" s="18" t="n">
        <v>283</v>
      </c>
    </row>
    <row r="5">
      <c r="A5" s="9" t="inlineStr">
        <is>
          <t>S1 Week 1 - Group 1</t>
        </is>
      </c>
      <c r="B5" s="9" t="inlineStr">
        <is>
          <t>Season 1 - Weekly</t>
        </is>
      </c>
      <c r="C5" s="9" t="inlineStr">
        <is>
          <t>Sam</t>
        </is>
      </c>
      <c r="D5" s="17" t="n">
        <v>4</v>
      </c>
      <c r="E5" s="18" t="n">
        <v>195</v>
      </c>
    </row>
    <row r="6">
      <c r="A6" s="9" t="inlineStr">
        <is>
          <t>S1 Week 1 - Group 2</t>
        </is>
      </c>
      <c r="B6" s="9" t="inlineStr">
        <is>
          <t>Season 1 - Weekly</t>
        </is>
      </c>
      <c r="C6" s="9" t="inlineStr">
        <is>
          <t>Greg</t>
        </is>
      </c>
      <c r="D6" s="17" t="n">
        <v>1</v>
      </c>
      <c r="E6" s="18" t="n">
        <v>256</v>
      </c>
    </row>
    <row r="7">
      <c r="A7" s="9" t="inlineStr">
        <is>
          <t>S1 Week 1 - Group 2</t>
        </is>
      </c>
      <c r="B7" s="9" t="inlineStr">
        <is>
          <t>Season 1 - Weekly</t>
        </is>
      </c>
      <c r="C7" s="9" t="inlineStr">
        <is>
          <t>Isaiah</t>
        </is>
      </c>
      <c r="D7" s="17" t="n">
        <v>2</v>
      </c>
      <c r="E7" s="18" t="n">
        <v>230</v>
      </c>
    </row>
    <row r="8">
      <c r="A8" s="9" t="inlineStr">
        <is>
          <t>S1 Week 1 - Group 2</t>
        </is>
      </c>
      <c r="B8" s="9" t="inlineStr">
        <is>
          <t>Season 1 - Weekly</t>
        </is>
      </c>
      <c r="C8" s="9" t="inlineStr">
        <is>
          <t>Jackson</t>
        </is>
      </c>
      <c r="D8" s="17" t="n">
        <v>3</v>
      </c>
      <c r="E8" s="18" t="n">
        <v>217</v>
      </c>
    </row>
    <row r="9">
      <c r="A9" s="9" t="inlineStr">
        <is>
          <t>S1 Week 1 - Group 2</t>
        </is>
      </c>
      <c r="B9" s="9" t="inlineStr">
        <is>
          <t>Season 1 - Weekly</t>
        </is>
      </c>
      <c r="C9" s="9" t="inlineStr">
        <is>
          <t>Jorgen</t>
        </is>
      </c>
      <c r="D9" s="17" t="n">
        <v>4</v>
      </c>
      <c r="E9" s="18" t="n">
        <v>129</v>
      </c>
    </row>
    <row r="10">
      <c r="A10" s="9" t="inlineStr">
        <is>
          <t>S1 Week 1 - Group 3</t>
        </is>
      </c>
      <c r="B10" s="9" t="inlineStr">
        <is>
          <t>Season 1 - Weekly</t>
        </is>
      </c>
      <c r="C10" s="9" t="inlineStr">
        <is>
          <t>Will</t>
        </is>
      </c>
      <c r="D10" s="17" t="n">
        <v>1</v>
      </c>
      <c r="E10" s="18" t="n">
        <v>312</v>
      </c>
    </row>
    <row r="11">
      <c r="A11" s="9" t="inlineStr">
        <is>
          <t>S1 Week 1 - Group 3</t>
        </is>
      </c>
      <c r="B11" s="9" t="inlineStr">
        <is>
          <t>Season 1 - Weekly</t>
        </is>
      </c>
      <c r="C11" s="9" t="inlineStr">
        <is>
          <t>Stu</t>
        </is>
      </c>
      <c r="D11" s="17" t="n">
        <v>2</v>
      </c>
      <c r="E11" s="18" t="n">
        <v>310</v>
      </c>
    </row>
    <row r="12">
      <c r="A12" s="9" t="inlineStr">
        <is>
          <t>S1 Week 1 - Group 3</t>
        </is>
      </c>
      <c r="B12" s="9" t="inlineStr">
        <is>
          <t>Season 1 - Weekly</t>
        </is>
      </c>
      <c r="C12" s="9" t="inlineStr">
        <is>
          <t>Peter</t>
        </is>
      </c>
      <c r="D12" s="17" t="n">
        <v>3</v>
      </c>
      <c r="E12" s="18" t="n">
        <v>124</v>
      </c>
    </row>
    <row r="13">
      <c r="A13" s="9" t="inlineStr">
        <is>
          <t>S1 Week 1 - Group 3</t>
        </is>
      </c>
      <c r="B13" s="9" t="inlineStr">
        <is>
          <t>Season 1 - Weekly</t>
        </is>
      </c>
      <c r="C13" s="9" t="inlineStr">
        <is>
          <t>Max</t>
        </is>
      </c>
      <c r="D13" s="17" t="n">
        <v>4</v>
      </c>
      <c r="E13" s="18" t="n">
        <v>94</v>
      </c>
    </row>
    <row r="14">
      <c r="A14" s="9" t="inlineStr">
        <is>
          <t>S1 Week 2 - Group 1</t>
        </is>
      </c>
      <c r="B14" s="9" t="inlineStr">
        <is>
          <t>Season 1 - Weekly</t>
        </is>
      </c>
      <c r="C14" s="9" t="inlineStr">
        <is>
          <t>Jake</t>
        </is>
      </c>
      <c r="D14" s="17" t="n">
        <v>1</v>
      </c>
      <c r="E14" s="18" t="n">
        <v>370</v>
      </c>
    </row>
    <row r="15">
      <c r="A15" s="9" t="inlineStr">
        <is>
          <t>S1 Week 2 - Group 1</t>
        </is>
      </c>
      <c r="B15" s="9" t="inlineStr">
        <is>
          <t>Season 1 - Weekly</t>
        </is>
      </c>
      <c r="C15" s="9" t="inlineStr">
        <is>
          <t>Jackson</t>
        </is>
      </c>
      <c r="D15" s="17" t="n">
        <v>2</v>
      </c>
      <c r="E15" s="18" t="n">
        <v>203</v>
      </c>
    </row>
    <row r="16">
      <c r="A16" s="9" t="inlineStr">
        <is>
          <t>S1 Week 2 - Group 1</t>
        </is>
      </c>
      <c r="B16" s="9" t="inlineStr">
        <is>
          <t>Season 1 - Weekly</t>
        </is>
      </c>
      <c r="C16" s="9" t="inlineStr">
        <is>
          <t>Greg</t>
        </is>
      </c>
      <c r="D16" s="17" t="n">
        <v>3</v>
      </c>
      <c r="E16" s="18" t="n">
        <v>202</v>
      </c>
    </row>
    <row r="17">
      <c r="A17" s="9" t="inlineStr">
        <is>
          <t>S1 Week 2 - Group 1</t>
        </is>
      </c>
      <c r="B17" s="9" t="inlineStr">
        <is>
          <t>Season 1 - Weekly</t>
        </is>
      </c>
      <c r="C17" s="9" t="inlineStr">
        <is>
          <t>Max</t>
        </is>
      </c>
      <c r="D17" s="17" t="n">
        <v>4</v>
      </c>
      <c r="E17" s="18" t="n">
        <v>106</v>
      </c>
    </row>
    <row r="18">
      <c r="A18" s="9" t="inlineStr">
        <is>
          <t>S1 Week 2 - Group 2</t>
        </is>
      </c>
      <c r="B18" s="9" t="inlineStr">
        <is>
          <t>Season 1 - Weekly</t>
        </is>
      </c>
      <c r="C18" s="9" t="inlineStr">
        <is>
          <t>Jack</t>
        </is>
      </c>
      <c r="D18" s="17" t="n">
        <v>1</v>
      </c>
      <c r="E18" s="18" t="n">
        <v>387</v>
      </c>
    </row>
    <row r="19">
      <c r="A19" s="9" t="inlineStr">
        <is>
          <t>S1 Week 2 - Group 2</t>
        </is>
      </c>
      <c r="B19" s="9" t="inlineStr">
        <is>
          <t>Season 1 - Weekly</t>
        </is>
      </c>
      <c r="C19" s="9" t="inlineStr">
        <is>
          <t>Sam</t>
        </is>
      </c>
      <c r="D19" s="17" t="n">
        <v>2</v>
      </c>
      <c r="E19" s="18" t="n">
        <v>310</v>
      </c>
    </row>
    <row r="20">
      <c r="A20" s="9" t="inlineStr">
        <is>
          <t>S1 Week 2 - Group 2</t>
        </is>
      </c>
      <c r="B20" s="9" t="inlineStr">
        <is>
          <t>Season 1 - Weekly</t>
        </is>
      </c>
      <c r="C20" s="9" t="inlineStr">
        <is>
          <t>Stu</t>
        </is>
      </c>
      <c r="D20" s="17" t="n">
        <v>3</v>
      </c>
      <c r="E20" s="18" t="n">
        <v>283</v>
      </c>
    </row>
    <row r="21">
      <c r="A21" s="9" t="inlineStr">
        <is>
          <t>S1 Week 2 - Group 2</t>
        </is>
      </c>
      <c r="B21" s="9" t="inlineStr">
        <is>
          <t>Season 1 - Weekly</t>
        </is>
      </c>
      <c r="C21" s="9" t="inlineStr">
        <is>
          <t>Isaiah</t>
        </is>
      </c>
      <c r="D21" s="17" t="n">
        <v>4</v>
      </c>
      <c r="E21" s="18" t="n">
        <v>213</v>
      </c>
    </row>
    <row r="22">
      <c r="A22" s="9" t="inlineStr">
        <is>
          <t>S1 Week 2 - Group 3</t>
        </is>
      </c>
      <c r="B22" s="9" t="inlineStr">
        <is>
          <t>Season 1 - Weekly</t>
        </is>
      </c>
      <c r="C22" s="9" t="inlineStr">
        <is>
          <t>Kannon</t>
        </is>
      </c>
      <c r="D22" s="17" t="n">
        <v>1</v>
      </c>
      <c r="E22" s="18" t="n">
        <v>426</v>
      </c>
    </row>
    <row r="23">
      <c r="A23" s="9" t="inlineStr">
        <is>
          <t>S1 Week 2 - Group 3</t>
        </is>
      </c>
      <c r="B23" s="9" t="inlineStr">
        <is>
          <t>Season 1 - Weekly</t>
        </is>
      </c>
      <c r="C23" s="9" t="inlineStr">
        <is>
          <t>Will</t>
        </is>
      </c>
      <c r="D23" s="17" t="n">
        <v>2</v>
      </c>
      <c r="E23" s="18" t="n">
        <v>306</v>
      </c>
    </row>
    <row r="24">
      <c r="A24" s="9" t="inlineStr">
        <is>
          <t>S1 Week 2 - Group 3</t>
        </is>
      </c>
      <c r="B24" s="9" t="inlineStr">
        <is>
          <t>Season 1 - Weekly</t>
        </is>
      </c>
      <c r="C24" s="9" t="inlineStr">
        <is>
          <t>Jorgen</t>
        </is>
      </c>
      <c r="D24" s="17" t="n">
        <v>3</v>
      </c>
      <c r="E24" s="18" t="n">
        <v>170</v>
      </c>
    </row>
    <row r="25">
      <c r="A25" s="9" t="inlineStr">
        <is>
          <t>S1 Week 2 - Group 3</t>
        </is>
      </c>
      <c r="B25" s="9" t="inlineStr">
        <is>
          <t>Season 1 - Weekly</t>
        </is>
      </c>
      <c r="C25" s="9" t="inlineStr">
        <is>
          <t>Peter</t>
        </is>
      </c>
      <c r="D25" s="17" t="n">
        <v>4</v>
      </c>
      <c r="E25" s="18" t="n">
        <v>109</v>
      </c>
    </row>
    <row r="26">
      <c r="A26" s="9" t="inlineStr">
        <is>
          <t>S1 Week 3 - Group 1</t>
        </is>
      </c>
      <c r="B26" s="9" t="inlineStr">
        <is>
          <t>Season 1 - Weekly</t>
        </is>
      </c>
      <c r="C26" s="9" t="inlineStr">
        <is>
          <t>Will</t>
        </is>
      </c>
      <c r="D26" s="17" t="n">
        <v>1</v>
      </c>
      <c r="E26" s="18" t="n">
        <v>319</v>
      </c>
    </row>
    <row r="27">
      <c r="A27" s="9" t="inlineStr">
        <is>
          <t>S1 Week 3 - Group 1</t>
        </is>
      </c>
      <c r="B27" s="9" t="inlineStr">
        <is>
          <t>Season 1 - Weekly</t>
        </is>
      </c>
      <c r="C27" s="9" t="inlineStr">
        <is>
          <t>Stu</t>
        </is>
      </c>
      <c r="D27" s="17" t="n">
        <v>2</v>
      </c>
      <c r="E27" s="18" t="n">
        <v>283</v>
      </c>
    </row>
    <row r="28">
      <c r="A28" s="9" t="inlineStr">
        <is>
          <t>S1 Week 3 - Group 1</t>
        </is>
      </c>
      <c r="B28" s="9" t="inlineStr">
        <is>
          <t>Season 1 - Weekly</t>
        </is>
      </c>
      <c r="C28" s="9" t="inlineStr">
        <is>
          <t>Isaiah</t>
        </is>
      </c>
      <c r="D28" s="17" t="n">
        <v>3</v>
      </c>
      <c r="E28" s="18" t="n">
        <v>231</v>
      </c>
    </row>
    <row r="29">
      <c r="A29" s="9" t="inlineStr">
        <is>
          <t>S1 Week 3 - Group 1</t>
        </is>
      </c>
      <c r="B29" s="9" t="inlineStr">
        <is>
          <t>Season 1 - Weekly</t>
        </is>
      </c>
      <c r="C29" s="9" t="inlineStr">
        <is>
          <t>Zynny</t>
        </is>
      </c>
      <c r="D29" s="17" t="n">
        <v>4</v>
      </c>
      <c r="E29" s="18" t="n">
        <v>215</v>
      </c>
    </row>
    <row r="30">
      <c r="A30" s="9" t="inlineStr">
        <is>
          <t>S1 Week 3 - Group 2</t>
        </is>
      </c>
      <c r="B30" s="9" t="inlineStr">
        <is>
          <t>Season 1 - Weekly</t>
        </is>
      </c>
      <c r="C30" s="9" t="inlineStr">
        <is>
          <t>Kannon</t>
        </is>
      </c>
      <c r="D30" s="17" t="n">
        <v>1</v>
      </c>
      <c r="E30" s="18" t="n">
        <v>436</v>
      </c>
    </row>
    <row r="31">
      <c r="A31" s="9" t="inlineStr">
        <is>
          <t>S1 Week 3 - Group 2</t>
        </is>
      </c>
      <c r="B31" s="9" t="inlineStr">
        <is>
          <t>Season 1 - Weekly</t>
        </is>
      </c>
      <c r="C31" s="9" t="inlineStr">
        <is>
          <t>Jack</t>
        </is>
      </c>
      <c r="D31" s="17" t="n">
        <v>2</v>
      </c>
      <c r="E31" s="18" t="n">
        <v>313</v>
      </c>
    </row>
    <row r="32">
      <c r="A32" s="9" t="inlineStr">
        <is>
          <t>S1 Week 3 - Group 2</t>
        </is>
      </c>
      <c r="B32" s="9" t="inlineStr">
        <is>
          <t>Season 1 - Weekly</t>
        </is>
      </c>
      <c r="C32" s="9" t="inlineStr">
        <is>
          <t>Greg</t>
        </is>
      </c>
      <c r="D32" s="17" t="n">
        <v>3</v>
      </c>
      <c r="E32" s="18" t="n">
        <v>164</v>
      </c>
    </row>
    <row r="33">
      <c r="A33" s="9" t="inlineStr">
        <is>
          <t>S1 Week 3 - Group 2</t>
        </is>
      </c>
      <c r="B33" s="9" t="inlineStr">
        <is>
          <t>Season 1 - Weekly</t>
        </is>
      </c>
      <c r="C33" s="9" t="inlineStr">
        <is>
          <t>Max</t>
        </is>
      </c>
      <c r="D33" s="17" t="n">
        <v>4</v>
      </c>
      <c r="E33" s="18" t="n">
        <v>115</v>
      </c>
    </row>
    <row r="34">
      <c r="A34" s="9" t="inlineStr">
        <is>
          <t>S1 Week 3 - Group 3</t>
        </is>
      </c>
      <c r="B34" s="9" t="inlineStr">
        <is>
          <t>Season 1 - Weekly</t>
        </is>
      </c>
      <c r="C34" s="9" t="inlineStr">
        <is>
          <t>Jack (sub)</t>
        </is>
      </c>
      <c r="D34" s="17" t="n">
        <v>1</v>
      </c>
      <c r="E34" s="18" t="n">
        <v>415</v>
      </c>
    </row>
    <row r="35">
      <c r="A35" s="9" t="inlineStr">
        <is>
          <t>S1 Week 3 - Group 3</t>
        </is>
      </c>
      <c r="B35" s="9" t="inlineStr">
        <is>
          <t>Season 1 - Weekly</t>
        </is>
      </c>
      <c r="C35" s="9" t="inlineStr">
        <is>
          <t>Jake</t>
        </is>
      </c>
      <c r="D35" s="17" t="n">
        <v>2</v>
      </c>
      <c r="E35" s="18" t="n">
        <v>321</v>
      </c>
    </row>
    <row r="36">
      <c r="A36" s="9" t="inlineStr">
        <is>
          <t>S1 Week 3 - Group 3</t>
        </is>
      </c>
      <c r="B36" s="9" t="inlineStr">
        <is>
          <t>Season 1 - Weekly</t>
        </is>
      </c>
      <c r="C36" s="9" t="inlineStr">
        <is>
          <t>Sam</t>
        </is>
      </c>
      <c r="D36" s="17" t="n">
        <v>3</v>
      </c>
      <c r="E36" s="18" t="n">
        <v>288</v>
      </c>
    </row>
    <row r="37">
      <c r="A37" s="9" t="inlineStr">
        <is>
          <t>S1 Week 3 - Group 3</t>
        </is>
      </c>
      <c r="B37" s="9" t="inlineStr">
        <is>
          <t>Season 1 - Weekly</t>
        </is>
      </c>
      <c r="C37" s="9" t="inlineStr">
        <is>
          <t>Peter</t>
        </is>
      </c>
      <c r="D37" s="17" t="n">
        <v>4</v>
      </c>
      <c r="E37" s="18" t="n">
        <v>199</v>
      </c>
    </row>
    <row r="38">
      <c r="A38" s="9" t="inlineStr">
        <is>
          <t>S1 Playoffs - Semi 1</t>
        </is>
      </c>
      <c r="B38" s="9" t="inlineStr">
        <is>
          <t>Season 1 - Playoffs</t>
        </is>
      </c>
      <c r="C38" s="9" t="inlineStr">
        <is>
          <t>Kannon</t>
        </is>
      </c>
      <c r="D38" s="17" t="n">
        <v>1</v>
      </c>
      <c r="E38" s="18" t="n">
        <v>384</v>
      </c>
    </row>
    <row r="39">
      <c r="A39" s="9" t="inlineStr">
        <is>
          <t>S1 Playoffs - Semi 1</t>
        </is>
      </c>
      <c r="B39" s="9" t="inlineStr">
        <is>
          <t>Season 1 - Playoffs</t>
        </is>
      </c>
      <c r="C39" s="9" t="inlineStr">
        <is>
          <t>Jack</t>
        </is>
      </c>
      <c r="D39" s="17" t="n">
        <v>2</v>
      </c>
      <c r="E39" s="18" t="n">
        <v>369</v>
      </c>
    </row>
    <row r="40">
      <c r="A40" s="9" t="inlineStr">
        <is>
          <t>S1 Playoffs - Semi 1</t>
        </is>
      </c>
      <c r="B40" s="9" t="inlineStr">
        <is>
          <t>Season 1 - Playoffs</t>
        </is>
      </c>
      <c r="C40" s="9" t="inlineStr">
        <is>
          <t>Isaiah</t>
        </is>
      </c>
      <c r="D40" s="17" t="n">
        <v>3</v>
      </c>
      <c r="E40" s="18" t="n">
        <v>240</v>
      </c>
    </row>
    <row r="41">
      <c r="A41" s="9" t="inlineStr">
        <is>
          <t>S1 Playoffs - Semi 1</t>
        </is>
      </c>
      <c r="B41" s="9" t="inlineStr">
        <is>
          <t>Season 1 - Playoffs</t>
        </is>
      </c>
      <c r="C41" s="9" t="inlineStr">
        <is>
          <t>Jackson</t>
        </is>
      </c>
      <c r="D41" s="17" t="n">
        <v>4</v>
      </c>
      <c r="E41" s="18" t="n">
        <v>181</v>
      </c>
    </row>
    <row r="42">
      <c r="A42" s="9" t="inlineStr">
        <is>
          <t>S1 Playoffs - Semi 2</t>
        </is>
      </c>
      <c r="B42" s="9" t="inlineStr">
        <is>
          <t>Season 1 - Playoffs</t>
        </is>
      </c>
      <c r="C42" s="9" t="inlineStr">
        <is>
          <t>Jake</t>
        </is>
      </c>
      <c r="D42" s="17" t="n">
        <v>1</v>
      </c>
      <c r="E42" s="18" t="n">
        <v>356</v>
      </c>
    </row>
    <row r="43">
      <c r="A43" s="9" t="inlineStr">
        <is>
          <t>S1 Playoffs - Semi 2</t>
        </is>
      </c>
      <c r="B43" s="9" t="inlineStr">
        <is>
          <t>Season 1 - Playoffs</t>
        </is>
      </c>
      <c r="C43" s="9" t="inlineStr">
        <is>
          <t>Stu</t>
        </is>
      </c>
      <c r="D43" s="17" t="n">
        <v>2</v>
      </c>
      <c r="E43" s="18" t="n">
        <v>302</v>
      </c>
    </row>
    <row r="44">
      <c r="A44" s="9" t="inlineStr">
        <is>
          <t>S1 Playoffs - Semi 2</t>
        </is>
      </c>
      <c r="B44" s="9" t="inlineStr">
        <is>
          <t>Season 1 - Playoffs</t>
        </is>
      </c>
      <c r="C44" s="9" t="inlineStr">
        <is>
          <t>Will</t>
        </is>
      </c>
      <c r="D44" s="17" t="n">
        <v>3</v>
      </c>
      <c r="E44" s="18" t="n">
        <v>300</v>
      </c>
    </row>
    <row r="45">
      <c r="A45" s="9" t="inlineStr">
        <is>
          <t>S1 Playoffs - Semi 2</t>
        </is>
      </c>
      <c r="B45" s="9" t="inlineStr">
        <is>
          <t>Season 1 - Playoffs</t>
        </is>
      </c>
      <c r="C45" s="9" t="inlineStr">
        <is>
          <t>Sam</t>
        </is>
      </c>
      <c r="D45" s="17" t="n">
        <v>4</v>
      </c>
      <c r="E45" s="18" t="n">
        <v>212</v>
      </c>
    </row>
    <row r="46">
      <c r="A46" s="9" t="inlineStr">
        <is>
          <t>S1 Playoffs - Final</t>
        </is>
      </c>
      <c r="B46" s="9" t="inlineStr">
        <is>
          <t>Season 1 - Playoffs</t>
        </is>
      </c>
      <c r="C46" s="9" t="inlineStr">
        <is>
          <t>Kannon</t>
        </is>
      </c>
      <c r="D46" s="17" t="n">
        <v>1</v>
      </c>
      <c r="E46" s="18" t="n">
        <v>368</v>
      </c>
    </row>
    <row r="47">
      <c r="A47" s="9" t="inlineStr">
        <is>
          <t>S1 Playoffs - Final</t>
        </is>
      </c>
      <c r="B47" s="9" t="inlineStr">
        <is>
          <t>Season 1 - Playoffs</t>
        </is>
      </c>
      <c r="C47" s="9" t="inlineStr">
        <is>
          <t>Jack</t>
        </is>
      </c>
      <c r="D47" s="17" t="n">
        <v>2</v>
      </c>
      <c r="E47" s="18" t="n">
        <v>320</v>
      </c>
    </row>
    <row r="48">
      <c r="A48" s="9" t="inlineStr">
        <is>
          <t>S1 Playoffs - Final</t>
        </is>
      </c>
      <c r="B48" s="9" t="inlineStr">
        <is>
          <t>Season 1 - Playoffs</t>
        </is>
      </c>
      <c r="C48" s="9" t="inlineStr">
        <is>
          <t>Stu</t>
        </is>
      </c>
      <c r="D48" s="17" t="n">
        <v>3</v>
      </c>
      <c r="E48" s="18" t="n">
        <v>302</v>
      </c>
    </row>
    <row r="49">
      <c r="A49" s="9" t="inlineStr">
        <is>
          <t>S1 Playoffs - Final</t>
        </is>
      </c>
      <c r="B49" s="9" t="inlineStr">
        <is>
          <t>Season 1 - Playoffs</t>
        </is>
      </c>
      <c r="C49" s="9" t="inlineStr">
        <is>
          <t>Will</t>
        </is>
      </c>
      <c r="D49" s="17" t="n">
        <v>4</v>
      </c>
      <c r="E49" s="18" t="n">
        <v>281</v>
      </c>
    </row>
    <row r="50">
      <c r="A50" s="9" t="inlineStr">
        <is>
          <t>S2 Week 1 - Group A</t>
        </is>
      </c>
      <c r="B50" s="9" t="inlineStr">
        <is>
          <t>Season 2 - Week 1</t>
        </is>
      </c>
      <c r="C50" s="9" t="inlineStr">
        <is>
          <t>Kannon</t>
        </is>
      </c>
      <c r="D50" s="17" t="n">
        <v>1</v>
      </c>
      <c r="E50" s="18" t="n">
        <v>421</v>
      </c>
    </row>
    <row r="51">
      <c r="A51" s="9" t="inlineStr">
        <is>
          <t>S2 Week 1 - Group A</t>
        </is>
      </c>
      <c r="B51" s="9" t="inlineStr">
        <is>
          <t>Season 2 - Week 1</t>
        </is>
      </c>
      <c r="C51" s="9" t="inlineStr">
        <is>
          <t>Jack</t>
        </is>
      </c>
      <c r="D51" s="17" t="n">
        <v>2</v>
      </c>
      <c r="E51" s="18" t="n">
        <v>345</v>
      </c>
    </row>
    <row r="52">
      <c r="A52" s="9" t="inlineStr">
        <is>
          <t>S2 Week 1 - Group A</t>
        </is>
      </c>
      <c r="B52" s="9" t="inlineStr">
        <is>
          <t>Season 2 - Week 1</t>
        </is>
      </c>
      <c r="C52" s="9" t="inlineStr">
        <is>
          <t>Christian</t>
        </is>
      </c>
      <c r="D52" s="17" t="n">
        <v>3</v>
      </c>
      <c r="E52" s="18" t="n">
        <v>238</v>
      </c>
    </row>
    <row r="53">
      <c r="A53" s="9" t="inlineStr">
        <is>
          <t>S2 Week 1 - Group A</t>
        </is>
      </c>
      <c r="B53" s="9" t="inlineStr">
        <is>
          <t>Season 2 - Week 1</t>
        </is>
      </c>
      <c r="C53" s="9" t="inlineStr">
        <is>
          <t>Peter</t>
        </is>
      </c>
      <c r="D53" s="17" t="n">
        <v>4</v>
      </c>
      <c r="E53" s="18" t="n">
        <v>166</v>
      </c>
    </row>
    <row r="54">
      <c r="A54" s="9" t="inlineStr">
        <is>
          <t>S2 Week 1 - Group B</t>
        </is>
      </c>
      <c r="B54" s="9" t="inlineStr">
        <is>
          <t>Season 2 - Week 1</t>
        </is>
      </c>
      <c r="C54" s="9" t="inlineStr">
        <is>
          <t>Sam</t>
        </is>
      </c>
      <c r="D54" s="17" t="n">
        <v>1</v>
      </c>
      <c r="E54" s="18" t="n">
        <v>388</v>
      </c>
    </row>
    <row r="55">
      <c r="A55" s="9" t="inlineStr">
        <is>
          <t>S2 Week 1 - Group B</t>
        </is>
      </c>
      <c r="B55" s="9" t="inlineStr">
        <is>
          <t>Season 2 - Week 1</t>
        </is>
      </c>
      <c r="C55" s="9" t="inlineStr">
        <is>
          <t>Jackson</t>
        </is>
      </c>
      <c r="D55" s="17" t="n">
        <v>2</v>
      </c>
      <c r="E55" s="18" t="n">
        <v>328</v>
      </c>
    </row>
    <row r="56">
      <c r="A56" s="9" t="inlineStr">
        <is>
          <t>S2 Week 1 - Group B</t>
        </is>
      </c>
      <c r="B56" s="9" t="inlineStr">
        <is>
          <t>Season 2 - Week 1</t>
        </is>
      </c>
      <c r="C56" s="9" t="inlineStr">
        <is>
          <t>Max</t>
        </is>
      </c>
      <c r="D56" s="17" t="n">
        <v>3</v>
      </c>
      <c r="E56" s="18" t="n">
        <v>260</v>
      </c>
    </row>
    <row r="57">
      <c r="A57" s="9" t="inlineStr">
        <is>
          <t>S2 Week 1 - Group B</t>
        </is>
      </c>
      <c r="B57" s="9" t="inlineStr">
        <is>
          <t>Season 2 - Week 1</t>
        </is>
      </c>
      <c r="C57" s="9" t="inlineStr">
        <is>
          <t>Jorgen</t>
        </is>
      </c>
      <c r="D57" s="17" t="n">
        <v>4</v>
      </c>
      <c r="E57" s="18" t="n">
        <v>168</v>
      </c>
    </row>
    <row r="58">
      <c r="A58" s="9" t="inlineStr">
        <is>
          <t>S2 Week 1 - Group C</t>
        </is>
      </c>
      <c r="B58" s="9" t="inlineStr">
        <is>
          <t>Season 2 - Week 1</t>
        </is>
      </c>
      <c r="C58" s="9" t="inlineStr">
        <is>
          <t>Isaiah</t>
        </is>
      </c>
      <c r="D58" s="17" t="n">
        <v>1</v>
      </c>
      <c r="E58" s="18" t="n">
        <v>350</v>
      </c>
    </row>
    <row r="59">
      <c r="A59" s="9" t="inlineStr">
        <is>
          <t>S2 Week 1 - Group C</t>
        </is>
      </c>
      <c r="B59" s="9" t="inlineStr">
        <is>
          <t>Season 2 - Week 1</t>
        </is>
      </c>
      <c r="C59" s="9" t="inlineStr">
        <is>
          <t>Harrison</t>
        </is>
      </c>
      <c r="D59" s="17" t="n">
        <v>2</v>
      </c>
      <c r="E59" s="18" t="n">
        <v>237</v>
      </c>
    </row>
    <row r="60">
      <c r="A60" s="9" t="inlineStr">
        <is>
          <t>S2 Week 1 - Group C</t>
        </is>
      </c>
      <c r="B60" s="9" t="inlineStr">
        <is>
          <t>Season 2 - Week 1</t>
        </is>
      </c>
      <c r="C60" s="9" t="inlineStr">
        <is>
          <t>Cailin</t>
        </is>
      </c>
      <c r="D60" s="17" t="n">
        <v>3</v>
      </c>
      <c r="E60" s="18" t="n">
        <v>116</v>
      </c>
    </row>
    <row r="61">
      <c r="A61" s="9" t="inlineStr">
        <is>
          <t>S2 Week 1 - Group C</t>
        </is>
      </c>
      <c r="B61" s="9" t="inlineStr">
        <is>
          <t>Season 2 - Week 1</t>
        </is>
      </c>
      <c r="C61" s="9" t="inlineStr">
        <is>
          <t>Ivan</t>
        </is>
      </c>
      <c r="D61" s="17" t="n">
        <v>4</v>
      </c>
      <c r="E61" s="18" t="n">
        <v>39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5" customWidth="1" min="3" max="3"/>
    <col width="22" customWidth="1" min="4" max="4"/>
    <col width="12" customWidth="1" min="5" max="5"/>
    <col width="12" customWidth="1" min="6" max="6"/>
    <col width="16" customWidth="1" min="7" max="7"/>
  </cols>
  <sheetData>
    <row r="1">
      <c r="A1" s="10" t="inlineStr">
        <is>
          <t>Player</t>
        </is>
      </c>
      <c r="B1" s="10" t="inlineStr">
        <is>
          <t>Group</t>
        </is>
      </c>
      <c r="C1" s="10" t="inlineStr">
        <is>
          <t>Effective Skill</t>
        </is>
      </c>
      <c r="D1" s="10" t="inlineStr">
        <is>
          <t>Avg Season Points (sim)</t>
        </is>
      </c>
      <c r="E1" s="10" t="inlineStr">
        <is>
          <t>Playoff %</t>
        </is>
      </c>
      <c r="F1" s="10" t="inlineStr">
        <is>
          <t>Finals %</t>
        </is>
      </c>
      <c r="G1" s="10" t="inlineStr">
        <is>
          <t>Championship %</t>
        </is>
      </c>
    </row>
    <row r="2">
      <c r="A2" s="11" t="inlineStr">
        <is>
          <t>Kannon</t>
        </is>
      </c>
      <c r="B2" s="9">
        <f>INDEX(Roster!A:A,MATCH(A2,Roster!B:B,0))</f>
        <v/>
      </c>
      <c r="C2" s="15">
        <f>INDEX(Roster!F:F,MATCH(A2,Roster!B:B,0))</f>
        <v/>
      </c>
      <c r="D2" s="15" t="n">
        <v>1243.5356</v>
      </c>
      <c r="E2" s="19" t="n">
        <v>1</v>
      </c>
      <c r="F2" s="19" t="n">
        <v>0.9958499999999999</v>
      </c>
      <c r="G2" s="19" t="n">
        <v>0.88395</v>
      </c>
    </row>
    <row r="3">
      <c r="A3" s="11" t="inlineStr">
        <is>
          <t>Jack</t>
        </is>
      </c>
      <c r="B3" s="9">
        <f>INDEX(Roster!A:A,MATCH(A3,Roster!B:B,0))</f>
        <v/>
      </c>
      <c r="C3" s="15">
        <f>INDEX(Roster!F:F,MATCH(A3,Roster!B:B,0))</f>
        <v/>
      </c>
      <c r="D3" s="15" t="n">
        <v>1168.75835</v>
      </c>
      <c r="E3" s="19" t="n">
        <v>0.99985</v>
      </c>
      <c r="F3" s="19" t="n">
        <v>0.89015</v>
      </c>
      <c r="G3" s="19" t="n">
        <v>0.09855</v>
      </c>
    </row>
    <row r="4">
      <c r="A4" s="11" t="inlineStr">
        <is>
          <t>Isaiah</t>
        </is>
      </c>
      <c r="B4" s="9">
        <f>INDEX(Roster!A:A,MATCH(A4,Roster!B:B,0))</f>
        <v/>
      </c>
      <c r="C4" s="15">
        <f>INDEX(Roster!F:F,MATCH(A4,Roster!B:B,0))</f>
        <v/>
      </c>
      <c r="D4" s="15" t="n">
        <v>1159.6948</v>
      </c>
      <c r="E4" s="19" t="n">
        <v>0.98965</v>
      </c>
      <c r="F4" s="19" t="n">
        <v>0.5285</v>
      </c>
      <c r="G4" s="19" t="n">
        <v>0.0063</v>
      </c>
    </row>
    <row r="5">
      <c r="A5" s="11" t="inlineStr">
        <is>
          <t>Harrison</t>
        </is>
      </c>
      <c r="B5" s="9">
        <f>INDEX(Roster!A:A,MATCH(A5,Roster!B:B,0))</f>
        <v/>
      </c>
      <c r="C5" s="15">
        <f>INDEX(Roster!F:F,MATCH(A5,Roster!B:B,0))</f>
        <v/>
      </c>
      <c r="D5" s="15" t="n">
        <v>1153.55365</v>
      </c>
      <c r="E5" s="19" t="n">
        <v>0.98405</v>
      </c>
      <c r="F5" s="19" t="n">
        <v>0.4794</v>
      </c>
      <c r="G5" s="19" t="n">
        <v>0.004099999999999999</v>
      </c>
    </row>
    <row r="6">
      <c r="A6" s="11" t="inlineStr">
        <is>
          <t>Stu</t>
        </is>
      </c>
      <c r="B6" s="9">
        <f>INDEX(Roster!A:A,MATCH(A6,Roster!B:B,0))</f>
        <v/>
      </c>
      <c r="C6" s="15">
        <f>INDEX(Roster!F:F,MATCH(A6,Roster!B:B,0))</f>
        <v/>
      </c>
      <c r="D6" s="15" t="n">
        <v>1123.40525</v>
      </c>
      <c r="E6" s="19" t="n">
        <v>0.9639</v>
      </c>
      <c r="F6" s="19" t="n">
        <v>0.408</v>
      </c>
      <c r="G6" s="19" t="n">
        <v>0.004099999999999999</v>
      </c>
    </row>
    <row r="7">
      <c r="A7" s="11" t="inlineStr">
        <is>
          <t>Will</t>
        </is>
      </c>
      <c r="B7" s="9">
        <f>INDEX(Roster!A:A,MATCH(A7,Roster!B:B,0))</f>
        <v/>
      </c>
      <c r="C7" s="15">
        <f>INDEX(Roster!F:F,MATCH(A7,Roster!B:B,0))</f>
        <v/>
      </c>
      <c r="D7" s="15" t="n">
        <v>1109.4998</v>
      </c>
      <c r="E7" s="19" t="n">
        <v>0.9105</v>
      </c>
      <c r="F7" s="19" t="n">
        <v>0.2864</v>
      </c>
      <c r="G7" s="19" t="n">
        <v>0.0023</v>
      </c>
    </row>
    <row r="8">
      <c r="A8" s="11" t="inlineStr">
        <is>
          <t>Sam</t>
        </is>
      </c>
      <c r="B8" s="9">
        <f>INDEX(Roster!A:A,MATCH(A8,Roster!B:B,0))</f>
        <v/>
      </c>
      <c r="C8" s="15">
        <f>INDEX(Roster!F:F,MATCH(A8,Roster!B:B,0))</f>
        <v/>
      </c>
      <c r="D8" s="15" t="n">
        <v>1165.03955</v>
      </c>
      <c r="E8" s="19" t="n">
        <v>0.94825</v>
      </c>
      <c r="F8" s="19" t="n">
        <v>0.29335</v>
      </c>
      <c r="G8" s="19" t="n">
        <v>0.0007000000000000001</v>
      </c>
    </row>
    <row r="9">
      <c r="A9" s="11" t="inlineStr">
        <is>
          <t>Christian</t>
        </is>
      </c>
      <c r="B9" s="9">
        <f>INDEX(Roster!A:A,MATCH(A9,Roster!B:B,0))</f>
        <v/>
      </c>
      <c r="C9" s="15">
        <f>INDEX(Roster!F:F,MATCH(A9,Roster!B:B,0))</f>
        <v/>
      </c>
      <c r="D9" s="15" t="n">
        <v>1034.74045</v>
      </c>
      <c r="E9" s="19" t="n">
        <v>0.00015</v>
      </c>
      <c r="F9" s="19" t="n">
        <v>0</v>
      </c>
      <c r="G9" s="19" t="n">
        <v>0</v>
      </c>
    </row>
    <row r="10">
      <c r="A10" s="11" t="inlineStr">
        <is>
          <t>Peter</t>
        </is>
      </c>
      <c r="B10" s="9">
        <f>INDEX(Roster!A:A,MATCH(A10,Roster!B:B,0))</f>
        <v/>
      </c>
      <c r="C10" s="15">
        <f>INDEX(Roster!F:F,MATCH(A10,Roster!B:B,0))</f>
        <v/>
      </c>
      <c r="D10" s="15" t="n">
        <v>872.9656</v>
      </c>
      <c r="E10" s="19" t="n">
        <v>0</v>
      </c>
      <c r="F10" s="19" t="n">
        <v>0</v>
      </c>
      <c r="G10" s="19" t="n">
        <v>0</v>
      </c>
    </row>
    <row r="11">
      <c r="A11" s="11" t="inlineStr">
        <is>
          <t>Jackson</t>
        </is>
      </c>
      <c r="B11" s="9">
        <f>INDEX(Roster!A:A,MATCH(A11,Roster!B:B,0))</f>
        <v/>
      </c>
      <c r="C11" s="15">
        <f>INDEX(Roster!F:F,MATCH(A11,Roster!B:B,0))</f>
        <v/>
      </c>
      <c r="D11" s="15" t="n">
        <v>1124.9865</v>
      </c>
      <c r="E11" s="19" t="n">
        <v>0.5630500000000001</v>
      </c>
      <c r="F11" s="19" t="n">
        <v>0.0597</v>
      </c>
      <c r="G11" s="19" t="n">
        <v>0</v>
      </c>
    </row>
    <row r="12">
      <c r="A12" s="11" t="inlineStr">
        <is>
          <t>Max</t>
        </is>
      </c>
      <c r="B12" s="9">
        <f>INDEX(Roster!A:A,MATCH(A12,Roster!B:B,0))</f>
        <v/>
      </c>
      <c r="C12" s="15">
        <f>INDEX(Roster!F:F,MATCH(A12,Roster!B:B,0))</f>
        <v/>
      </c>
      <c r="D12" s="15" t="n">
        <v>1121.5746</v>
      </c>
      <c r="E12" s="19" t="n">
        <v>0.4887</v>
      </c>
      <c r="F12" s="19" t="n">
        <v>0.0474</v>
      </c>
      <c r="G12" s="19" t="n">
        <v>0</v>
      </c>
    </row>
    <row r="13">
      <c r="A13" s="11" t="inlineStr">
        <is>
          <t>Jorgen</t>
        </is>
      </c>
      <c r="B13" s="9">
        <f>INDEX(Roster!A:A,MATCH(A13,Roster!B:B,0))</f>
        <v/>
      </c>
      <c r="C13" s="15">
        <f>INDEX(Roster!F:F,MATCH(A13,Roster!B:B,0))</f>
        <v/>
      </c>
      <c r="D13" s="15" t="n">
        <v>908.39935</v>
      </c>
      <c r="E13" s="19" t="n">
        <v>0</v>
      </c>
      <c r="F13" s="19" t="n">
        <v>0</v>
      </c>
      <c r="G13" s="19" t="n">
        <v>0</v>
      </c>
    </row>
    <row r="14">
      <c r="A14" s="11" t="inlineStr">
        <is>
          <t>Cailin</t>
        </is>
      </c>
      <c r="B14" s="9">
        <f>INDEX(Roster!A:A,MATCH(A14,Roster!B:B,0))</f>
        <v/>
      </c>
      <c r="C14" s="15">
        <f>INDEX(Roster!F:F,MATCH(A14,Roster!B:B,0))</f>
        <v/>
      </c>
      <c r="D14" s="15" t="n">
        <v>1069.22215</v>
      </c>
      <c r="E14" s="19" t="n">
        <v>0.0263</v>
      </c>
      <c r="F14" s="19" t="n">
        <v>0.00245</v>
      </c>
      <c r="G14" s="19" t="n">
        <v>0</v>
      </c>
    </row>
    <row r="15">
      <c r="A15" s="11" t="inlineStr">
        <is>
          <t>Ivan</t>
        </is>
      </c>
      <c r="B15" s="9">
        <f>INDEX(Roster!A:A,MATCH(A15,Roster!B:B,0))</f>
        <v/>
      </c>
      <c r="C15" s="15">
        <f>INDEX(Roster!F:F,MATCH(A15,Roster!B:B,0))</f>
        <v/>
      </c>
      <c r="D15" s="15" t="n">
        <v>937.5294</v>
      </c>
      <c r="E15" s="19" t="n">
        <v>0</v>
      </c>
      <c r="F15" s="19" t="n">
        <v>0</v>
      </c>
      <c r="G15" s="19" t="n">
        <v>0</v>
      </c>
    </row>
    <row r="16">
      <c r="A16" s="11" t="inlineStr">
        <is>
          <t>Maclane</t>
        </is>
      </c>
      <c r="B16" s="9">
        <f>INDEX(Roster!A:A,MATCH(A16,Roster!B:B,0))</f>
        <v/>
      </c>
      <c r="C16" s="15">
        <f>INDEX(Roster!F:F,MATCH(A16,Roster!B:B,0))</f>
        <v/>
      </c>
      <c r="D16" s="15" t="n">
        <v>1043.44865</v>
      </c>
      <c r="E16" s="19" t="n">
        <v>0.063</v>
      </c>
      <c r="F16" s="19" t="n">
        <v>0.00435</v>
      </c>
      <c r="G16" s="19" t="n">
        <v>0</v>
      </c>
    </row>
    <row r="17">
      <c r="A17" s="11" t="inlineStr">
        <is>
          <t>Luke</t>
        </is>
      </c>
      <c r="B17" s="9">
        <f>INDEX(Roster!A:A,MATCH(A17,Roster!B:B,0))</f>
        <v/>
      </c>
      <c r="C17" s="15">
        <f>INDEX(Roster!F:F,MATCH(A17,Roster!B:B,0))</f>
        <v/>
      </c>
      <c r="D17" s="15" t="n">
        <v>1043.6463</v>
      </c>
      <c r="E17" s="19" t="n">
        <v>0.0626</v>
      </c>
      <c r="F17" s="19" t="n">
        <v>0.00445</v>
      </c>
      <c r="G17" s="19" t="n">
        <v>0</v>
      </c>
    </row>
    <row r="19" ht="30" customHeight="1">
      <c r="A19" s="16" t="inlineStr">
        <is>
          <t>Monte Carlo snapshot: 20,000 simulated seasons, seed=42, using config/players_calibrated.yaml as generated. Rerun `python3 -m beerio_kart.cli --config beerio_kart/config/players_calibrated.yaml --sims 20000 --seed 42` to refresh after changing skills.</t>
        </is>
      </c>
    </row>
  </sheetData>
  <mergeCells count="1">
    <mergeCell ref="A19:G19"/>
  </mergeCells>
  <conditionalFormatting sqref="E2:E17">
    <cfRule type="dataBar" priority="1">
      <dataBar>
        <cfvo type="num" val="0"/>
        <cfvo type="num" val="1"/>
        <color rgb="00638EC6"/>
      </dataBar>
    </cfRule>
  </conditionalFormatting>
  <conditionalFormatting sqref="F2:F17">
    <cfRule type="dataBar" priority="2">
      <dataBar>
        <cfvo type="num" val="0"/>
        <cfvo type="num" val="1"/>
        <color rgb="00638EC6"/>
      </dataBar>
    </cfRule>
  </conditionalFormatting>
  <conditionalFormatting sqref="G2:G17">
    <cfRule type="dataBar" priority="3">
      <dataBar>
        <cfvo type="num" val="0"/>
        <cfvo type="num" val="1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4" customWidth="1" min="3" max="3"/>
    <col width="10" customWidth="1" min="4" max="4"/>
    <col width="16" customWidth="1" min="5" max="5"/>
  </cols>
  <sheetData>
    <row r="1">
      <c r="A1" s="1" t="inlineStr">
        <is>
          <t>Illustrative simulated season (one draw, seed=7)</t>
        </is>
      </c>
    </row>
    <row r="2">
      <c r="A2" s="20" t="inlineStr">
        <is>
          <t>One random outcome, not a prediction on its own -- see PlayoffOdds for odds across 20,000 draws.</t>
        </is>
      </c>
    </row>
    <row r="4">
      <c r="A4" s="5" t="inlineStr">
        <is>
          <t>League phase</t>
        </is>
      </c>
    </row>
    <row r="5">
      <c r="A5" s="3" t="inlineStr">
        <is>
          <t>Group A</t>
        </is>
      </c>
    </row>
    <row r="6">
      <c r="A6" s="10" t="inlineStr">
        <is>
          <t>Rank</t>
        </is>
      </c>
      <c r="B6" s="10" t="inlineStr">
        <is>
          <t>Player</t>
        </is>
      </c>
      <c r="C6" s="10" t="inlineStr">
        <is>
          <t>Points</t>
        </is>
      </c>
      <c r="D6" s="10" t="inlineStr">
        <is>
          <t>Advances</t>
        </is>
      </c>
    </row>
    <row r="7">
      <c r="A7" s="17" t="n">
        <v>1</v>
      </c>
      <c r="B7" s="9" t="inlineStr">
        <is>
          <t>Kannon</t>
        </is>
      </c>
      <c r="C7" s="18" t="n">
        <v>1244</v>
      </c>
      <c r="D7" s="9" t="inlineStr">
        <is>
          <t>Yes</t>
        </is>
      </c>
    </row>
    <row r="8">
      <c r="A8" s="17" t="n">
        <v>2</v>
      </c>
      <c r="B8" s="9" t="inlineStr">
        <is>
          <t>Jack</t>
        </is>
      </c>
      <c r="C8" s="18" t="n">
        <v>1166</v>
      </c>
      <c r="D8" s="9" t="inlineStr">
        <is>
          <t>Yes</t>
        </is>
      </c>
    </row>
    <row r="9">
      <c r="A9" s="17" t="n">
        <v>3</v>
      </c>
      <c r="B9" s="9" t="inlineStr">
        <is>
          <t>Christian</t>
        </is>
      </c>
      <c r="C9" s="18" t="n">
        <v>1053</v>
      </c>
      <c r="D9" s="9" t="inlineStr"/>
    </row>
    <row r="10">
      <c r="A10" s="17" t="n">
        <v>4</v>
      </c>
      <c r="B10" s="9" t="inlineStr">
        <is>
          <t>Peter</t>
        </is>
      </c>
      <c r="C10" s="18" t="n">
        <v>857</v>
      </c>
      <c r="D10" s="9" t="inlineStr"/>
    </row>
    <row r="12">
      <c r="A12" s="3" t="inlineStr">
        <is>
          <t>Group B</t>
        </is>
      </c>
    </row>
    <row r="13">
      <c r="A13" s="10" t="inlineStr">
        <is>
          <t>Rank</t>
        </is>
      </c>
      <c r="B13" s="10" t="inlineStr">
        <is>
          <t>Player</t>
        </is>
      </c>
      <c r="C13" s="10" t="inlineStr">
        <is>
          <t>Points</t>
        </is>
      </c>
      <c r="D13" s="10" t="inlineStr">
        <is>
          <t>Advances</t>
        </is>
      </c>
    </row>
    <row r="14">
      <c r="A14" s="17" t="n">
        <v>1</v>
      </c>
      <c r="B14" s="9" t="inlineStr">
        <is>
          <t>Sam</t>
        </is>
      </c>
      <c r="C14" s="18" t="n">
        <v>1169</v>
      </c>
      <c r="D14" s="9" t="inlineStr">
        <is>
          <t>Yes</t>
        </is>
      </c>
    </row>
    <row r="15">
      <c r="A15" s="17" t="n">
        <v>2</v>
      </c>
      <c r="B15" s="9" t="inlineStr">
        <is>
          <t>Jackson</t>
        </is>
      </c>
      <c r="C15" s="18" t="n">
        <v>1129</v>
      </c>
      <c r="D15" s="9" t="inlineStr">
        <is>
          <t>Yes</t>
        </is>
      </c>
    </row>
    <row r="16">
      <c r="A16" s="17" t="n">
        <v>3</v>
      </c>
      <c r="B16" s="9" t="inlineStr">
        <is>
          <t>Max</t>
        </is>
      </c>
      <c r="C16" s="18" t="n">
        <v>1128</v>
      </c>
      <c r="D16" s="9" t="inlineStr"/>
    </row>
    <row r="17">
      <c r="A17" s="17" t="n">
        <v>4</v>
      </c>
      <c r="B17" s="9" t="inlineStr">
        <is>
          <t>Jorgen</t>
        </is>
      </c>
      <c r="C17" s="18" t="n">
        <v>894</v>
      </c>
      <c r="D17" s="9" t="inlineStr"/>
    </row>
    <row r="19">
      <c r="A19" s="3" t="inlineStr">
        <is>
          <t>Group C</t>
        </is>
      </c>
    </row>
    <row r="20">
      <c r="A20" s="10" t="inlineStr">
        <is>
          <t>Rank</t>
        </is>
      </c>
      <c r="B20" s="10" t="inlineStr">
        <is>
          <t>Player</t>
        </is>
      </c>
      <c r="C20" s="10" t="inlineStr">
        <is>
          <t>Points</t>
        </is>
      </c>
      <c r="D20" s="10" t="inlineStr">
        <is>
          <t>Advances</t>
        </is>
      </c>
    </row>
    <row r="21">
      <c r="A21" s="17" t="n">
        <v>1</v>
      </c>
      <c r="B21" s="9" t="inlineStr">
        <is>
          <t>Harrison</t>
        </is>
      </c>
      <c r="C21" s="18" t="n">
        <v>1185</v>
      </c>
      <c r="D21" s="9" t="inlineStr">
        <is>
          <t>Yes</t>
        </is>
      </c>
    </row>
    <row r="22">
      <c r="A22" s="17" t="n">
        <v>2</v>
      </c>
      <c r="B22" s="9" t="inlineStr">
        <is>
          <t>Isaiah</t>
        </is>
      </c>
      <c r="C22" s="18" t="n">
        <v>1159</v>
      </c>
      <c r="D22" s="9" t="inlineStr">
        <is>
          <t>Yes</t>
        </is>
      </c>
    </row>
    <row r="23">
      <c r="A23" s="17" t="n">
        <v>3</v>
      </c>
      <c r="B23" s="9" t="inlineStr">
        <is>
          <t>Cailin</t>
        </is>
      </c>
      <c r="C23" s="18" t="n">
        <v>1044</v>
      </c>
      <c r="D23" s="9" t="inlineStr"/>
    </row>
    <row r="24">
      <c r="A24" s="17" t="n">
        <v>4</v>
      </c>
      <c r="B24" s="9" t="inlineStr">
        <is>
          <t>Ivan</t>
        </is>
      </c>
      <c r="C24" s="18" t="n">
        <v>932</v>
      </c>
      <c r="D24" s="9" t="inlineStr"/>
    </row>
    <row r="26">
      <c r="A26" s="3" t="inlineStr">
        <is>
          <t>Group D</t>
        </is>
      </c>
    </row>
    <row r="27">
      <c r="A27" s="10" t="inlineStr">
        <is>
          <t>Rank</t>
        </is>
      </c>
      <c r="B27" s="10" t="inlineStr">
        <is>
          <t>Player</t>
        </is>
      </c>
      <c r="C27" s="10" t="inlineStr">
        <is>
          <t>Points</t>
        </is>
      </c>
      <c r="D27" s="10" t="inlineStr">
        <is>
          <t>Advances</t>
        </is>
      </c>
    </row>
    <row r="28">
      <c r="A28" s="17" t="n">
        <v>1</v>
      </c>
      <c r="B28" s="9" t="inlineStr">
        <is>
          <t>Will</t>
        </is>
      </c>
      <c r="C28" s="18" t="n">
        <v>1144</v>
      </c>
      <c r="D28" s="9" t="inlineStr">
        <is>
          <t>Yes</t>
        </is>
      </c>
    </row>
    <row r="29">
      <c r="A29" s="17" t="n">
        <v>2</v>
      </c>
      <c r="B29" s="9" t="inlineStr">
        <is>
          <t>Stu</t>
        </is>
      </c>
      <c r="C29" s="18" t="n">
        <v>1138</v>
      </c>
      <c r="D29" s="9" t="inlineStr">
        <is>
          <t>Yes</t>
        </is>
      </c>
    </row>
    <row r="30">
      <c r="A30" s="17" t="n">
        <v>3</v>
      </c>
      <c r="B30" s="9" t="inlineStr">
        <is>
          <t>Maclane</t>
        </is>
      </c>
      <c r="C30" s="18" t="n">
        <v>1054</v>
      </c>
      <c r="D30" s="9" t="inlineStr"/>
    </row>
    <row r="31">
      <c r="A31" s="17" t="n">
        <v>4</v>
      </c>
      <c r="B31" s="9" t="inlineStr">
        <is>
          <t>Luke</t>
        </is>
      </c>
      <c r="C31" s="18" t="n">
        <v>984</v>
      </c>
      <c r="D31" s="9" t="inlineStr"/>
    </row>
    <row r="33">
      <c r="A33" s="5" t="inlineStr">
        <is>
          <t>Playoffs</t>
        </is>
      </c>
    </row>
    <row r="34">
      <c r="A34" s="3" t="inlineStr">
        <is>
          <t>Seeds</t>
        </is>
      </c>
    </row>
    <row r="35">
      <c r="A35" s="10" t="inlineStr">
        <is>
          <t>Seed</t>
        </is>
      </c>
      <c r="B35" s="10" t="inlineStr">
        <is>
          <t>Player</t>
        </is>
      </c>
    </row>
    <row r="36">
      <c r="A36" s="17" t="n">
        <v>1</v>
      </c>
      <c r="B36" s="9" t="inlineStr">
        <is>
          <t>Kannon</t>
        </is>
      </c>
    </row>
    <row r="37">
      <c r="A37" s="17" t="n">
        <v>2</v>
      </c>
      <c r="B37" s="9" t="inlineStr">
        <is>
          <t>Harrison</t>
        </is>
      </c>
    </row>
    <row r="38">
      <c r="A38" s="17" t="n">
        <v>3</v>
      </c>
      <c r="B38" s="9" t="inlineStr">
        <is>
          <t>Sam</t>
        </is>
      </c>
    </row>
    <row r="39">
      <c r="A39" s="17" t="n">
        <v>4</v>
      </c>
      <c r="B39" s="9" t="inlineStr">
        <is>
          <t>Jack</t>
        </is>
      </c>
    </row>
    <row r="40">
      <c r="A40" s="17" t="n">
        <v>5</v>
      </c>
      <c r="B40" s="9" t="inlineStr">
        <is>
          <t>Isaiah</t>
        </is>
      </c>
    </row>
    <row r="41">
      <c r="A41" s="17" t="n">
        <v>6</v>
      </c>
      <c r="B41" s="9" t="inlineStr">
        <is>
          <t>Will</t>
        </is>
      </c>
    </row>
    <row r="42">
      <c r="A42" s="17" t="n">
        <v>7</v>
      </c>
      <c r="B42" s="9" t="inlineStr">
        <is>
          <t>Stu</t>
        </is>
      </c>
    </row>
    <row r="43">
      <c r="A43" s="17" t="n">
        <v>8</v>
      </c>
      <c r="B43" s="9" t="inlineStr">
        <is>
          <t>Jackson</t>
        </is>
      </c>
    </row>
    <row r="45">
      <c r="A45" s="3" t="inlineStr">
        <is>
          <t>Bracket: seeds 1, 2, 7, 8</t>
        </is>
      </c>
    </row>
    <row r="46">
      <c r="A46" s="10" t="inlineStr">
        <is>
          <t>Rank</t>
        </is>
      </c>
      <c r="B46" s="10" t="inlineStr">
        <is>
          <t>Player</t>
        </is>
      </c>
      <c r="C46" s="10" t="inlineStr">
        <is>
          <t>Points</t>
        </is>
      </c>
      <c r="D46" s="10" t="inlineStr">
        <is>
          <t>Advances</t>
        </is>
      </c>
    </row>
    <row r="47">
      <c r="A47" s="17" t="n">
        <v>1</v>
      </c>
      <c r="B47" s="9" t="inlineStr">
        <is>
          <t>Kannon</t>
        </is>
      </c>
      <c r="C47" s="18" t="n">
        <v>400</v>
      </c>
      <c r="D47" s="9" t="inlineStr">
        <is>
          <t>Yes</t>
        </is>
      </c>
    </row>
    <row r="48">
      <c r="A48" s="17" t="n">
        <v>2</v>
      </c>
      <c r="B48" s="9" t="inlineStr">
        <is>
          <t>Harrison</t>
        </is>
      </c>
      <c r="C48" s="18" t="n">
        <v>362</v>
      </c>
      <c r="D48" s="9" t="inlineStr">
        <is>
          <t>Yes</t>
        </is>
      </c>
    </row>
    <row r="49">
      <c r="A49" s="17" t="n">
        <v>3</v>
      </c>
      <c r="B49" s="9" t="inlineStr">
        <is>
          <t>Stu</t>
        </is>
      </c>
      <c r="C49" s="18" t="n">
        <v>359</v>
      </c>
      <c r="D49" s="9" t="inlineStr"/>
    </row>
    <row r="50">
      <c r="A50" s="17" t="n">
        <v>4</v>
      </c>
      <c r="B50" s="9" t="inlineStr">
        <is>
          <t>Jackson</t>
        </is>
      </c>
      <c r="C50" s="18" t="n">
        <v>319</v>
      </c>
      <c r="D50" s="9" t="inlineStr"/>
    </row>
    <row r="52">
      <c r="A52" s="3" t="inlineStr">
        <is>
          <t>Bracket: seeds 3, 4, 5, 6</t>
        </is>
      </c>
    </row>
    <row r="53">
      <c r="A53" s="10" t="inlineStr">
        <is>
          <t>Rank</t>
        </is>
      </c>
      <c r="B53" s="10" t="inlineStr">
        <is>
          <t>Player</t>
        </is>
      </c>
      <c r="C53" s="10" t="inlineStr">
        <is>
          <t>Points</t>
        </is>
      </c>
      <c r="D53" s="10" t="inlineStr">
        <is>
          <t>Advances</t>
        </is>
      </c>
    </row>
    <row r="54">
      <c r="A54" s="17" t="n">
        <v>1</v>
      </c>
      <c r="B54" s="9" t="inlineStr">
        <is>
          <t>Jack</t>
        </is>
      </c>
      <c r="C54" s="18" t="n">
        <v>379</v>
      </c>
      <c r="D54" s="9" t="inlineStr">
        <is>
          <t>Yes</t>
        </is>
      </c>
    </row>
    <row r="55">
      <c r="A55" s="17" t="n">
        <v>2</v>
      </c>
      <c r="B55" s="9" t="inlineStr">
        <is>
          <t>Isaiah</t>
        </is>
      </c>
      <c r="C55" s="18" t="n">
        <v>378</v>
      </c>
      <c r="D55" s="9" t="inlineStr">
        <is>
          <t>Yes</t>
        </is>
      </c>
    </row>
    <row r="56">
      <c r="A56" s="17" t="n">
        <v>3</v>
      </c>
      <c r="B56" s="9" t="inlineStr">
        <is>
          <t>Will</t>
        </is>
      </c>
      <c r="C56" s="18" t="n">
        <v>361</v>
      </c>
      <c r="D56" s="9" t="inlineStr"/>
    </row>
    <row r="57">
      <c r="A57" s="17" t="n">
        <v>4</v>
      </c>
      <c r="B57" s="9" t="inlineStr">
        <is>
          <t>Sam</t>
        </is>
      </c>
      <c r="C57" s="18" t="n">
        <v>322</v>
      </c>
      <c r="D57" s="9" t="inlineStr"/>
    </row>
    <row r="59">
      <c r="A59" s="3" t="inlineStr">
        <is>
          <t>Final (winner takes all)</t>
        </is>
      </c>
    </row>
    <row r="60">
      <c r="A60" s="10" t="inlineStr">
        <is>
          <t>Rank</t>
        </is>
      </c>
      <c r="B60" s="10" t="inlineStr">
        <is>
          <t>Player</t>
        </is>
      </c>
      <c r="C60" s="10" t="inlineStr">
        <is>
          <t>Points</t>
        </is>
      </c>
      <c r="D60" s="10" t="inlineStr">
        <is>
          <t>Advances</t>
        </is>
      </c>
    </row>
    <row r="61">
      <c r="A61" s="17" t="n">
        <v>1</v>
      </c>
      <c r="B61" s="9" t="inlineStr">
        <is>
          <t>Kannon</t>
        </is>
      </c>
      <c r="C61" s="18" t="n">
        <v>385</v>
      </c>
      <c r="D61" s="9" t="inlineStr">
        <is>
          <t>Yes</t>
        </is>
      </c>
    </row>
    <row r="62">
      <c r="A62" s="17" t="n">
        <v>2</v>
      </c>
      <c r="B62" s="9" t="inlineStr">
        <is>
          <t>Jack</t>
        </is>
      </c>
      <c r="C62" s="18" t="n">
        <v>361</v>
      </c>
      <c r="D62" s="9" t="inlineStr">
        <is>
          <t>Yes</t>
        </is>
      </c>
    </row>
    <row r="63">
      <c r="A63" s="17" t="n">
        <v>3</v>
      </c>
      <c r="B63" s="9" t="inlineStr">
        <is>
          <t>Isaiah</t>
        </is>
      </c>
      <c r="C63" s="18" t="n">
        <v>359</v>
      </c>
      <c r="D63" s="9" t="inlineStr"/>
    </row>
    <row r="64">
      <c r="A64" s="17" t="n">
        <v>4</v>
      </c>
      <c r="B64" s="9" t="inlineStr">
        <is>
          <t>Harrison</t>
        </is>
      </c>
      <c r="C64" s="18" t="n">
        <v>335</v>
      </c>
      <c r="D64" s="9" t="inlineStr"/>
    </row>
    <row r="66">
      <c r="A66" s="21" t="inlineStr">
        <is>
          <t>CHAMPION</t>
        </is>
      </c>
      <c r="B66" s="22" t="inlineStr">
        <is>
          <t>Kannon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2" customWidth="1" min="3" max="3"/>
  </cols>
  <sheetData>
    <row r="1">
      <c r="A1" s="5" t="inlineStr">
        <is>
          <t>Select a player</t>
        </is>
      </c>
    </row>
    <row r="2">
      <c r="A2" s="23" t="inlineStr">
        <is>
          <t>Kannon</t>
        </is>
      </c>
    </row>
    <row r="4">
      <c r="A4" s="11" t="inlineStr">
        <is>
          <t>Group</t>
        </is>
      </c>
      <c r="B4" s="9">
        <f>INDEX(Roster!A:A,MATCH($A$2,Roster!B:B,0))</f>
        <v/>
      </c>
    </row>
    <row r="5">
      <c r="A5" s="11" t="inlineStr">
        <is>
          <t>Effective Skill</t>
        </is>
      </c>
      <c r="B5" s="15">
        <f>INDEX(Roster!F:F,MATCH($A$2,Roster!B:B,0))</f>
        <v/>
      </c>
    </row>
    <row r="6">
      <c r="A6" s="11" t="inlineStr">
        <is>
          <t>Games (History)</t>
        </is>
      </c>
      <c r="B6" s="17">
        <f>INDEX(Roster!G:G,MATCH($A$2,Roster!B:B,0))</f>
        <v/>
      </c>
    </row>
    <row r="7">
      <c r="A7" s="11" t="inlineStr">
        <is>
          <t>Avg Points (Real)</t>
        </is>
      </c>
      <c r="B7" s="15">
        <f>INDEX(Roster!H:H,MATCH($A$2,Roster!B:B,0))</f>
        <v/>
      </c>
    </row>
    <row r="8">
      <c r="A8" s="11" t="inlineStr">
        <is>
          <t>Playoff %</t>
        </is>
      </c>
      <c r="B8" s="19">
        <f>IFERROR(INDEX(PlayoffOdds!E:E,MATCH($A$2,PlayoffOdds!A:A,0)),"n/a")</f>
        <v/>
      </c>
    </row>
    <row r="9">
      <c r="A9" s="11" t="inlineStr">
        <is>
          <t>Finals %</t>
        </is>
      </c>
      <c r="B9" s="19">
        <f>IFERROR(INDEX(PlayoffOdds!F:F,MATCH($A$2,PlayoffOdds!A:A,0)),"n/a")</f>
        <v/>
      </c>
    </row>
    <row r="10">
      <c r="A10" s="11" t="inlineStr">
        <is>
          <t>Championship %</t>
        </is>
      </c>
      <c r="B10" s="19">
        <f>IFERROR(INDEX(PlayoffOdds!G:G,MATCH($A$2,PlayoffOdds!A:A,0)),"n/a")</f>
        <v/>
      </c>
    </row>
    <row r="12">
      <c r="A12" s="5" t="inlineStr">
        <is>
          <t>Chronological result history</t>
        </is>
      </c>
    </row>
    <row r="13">
      <c r="A13" s="10" t="inlineStr">
        <is>
          <t>#</t>
        </is>
      </c>
      <c r="B13" s="10" t="inlineStr">
        <is>
          <t>Event</t>
        </is>
      </c>
      <c r="C13" s="10" t="inlineStr">
        <is>
          <t>Points</t>
        </is>
      </c>
    </row>
    <row r="14">
      <c r="A14" s="17" t="n">
        <v>1</v>
      </c>
      <c r="B14" s="9">
        <f>IFERROR(INDEX(ResultsLog!$A$2:$A$61,AGGREGATE(15,6,(ROW(ResultsLog!$C$2:$C$61)-ROW(ResultsLog!$C$2)+1)/(ResultsLog!$C$2:$C$61=$A$2),1)),"")</f>
        <v/>
      </c>
      <c r="C14" s="18">
        <f>IFERROR(INDEX(ResultsLog!$E$2:$E$61,AGGREGATE(15,6,(ROW(ResultsLog!$C$2:$C$61)-ROW(ResultsLog!$C$2)+1)/(ResultsLog!$C$2:$C$61=$A$2),1)),NA())</f>
        <v/>
      </c>
    </row>
    <row r="15">
      <c r="A15" s="17" t="n">
        <v>2</v>
      </c>
      <c r="B15" s="9">
        <f>IFERROR(INDEX(ResultsLog!$A$2:$A$61,AGGREGATE(15,6,(ROW(ResultsLog!$C$2:$C$61)-ROW(ResultsLog!$C$2)+1)/(ResultsLog!$C$2:$C$61=$A$2),2)),"")</f>
        <v/>
      </c>
      <c r="C15" s="18">
        <f>IFERROR(INDEX(ResultsLog!$E$2:$E$61,AGGREGATE(15,6,(ROW(ResultsLog!$C$2:$C$61)-ROW(ResultsLog!$C$2)+1)/(ResultsLog!$C$2:$C$61=$A$2),2)),NA())</f>
        <v/>
      </c>
    </row>
    <row r="16">
      <c r="A16" s="17" t="n">
        <v>3</v>
      </c>
      <c r="B16" s="9">
        <f>IFERROR(INDEX(ResultsLog!$A$2:$A$61,AGGREGATE(15,6,(ROW(ResultsLog!$C$2:$C$61)-ROW(ResultsLog!$C$2)+1)/(ResultsLog!$C$2:$C$61=$A$2),3)),"")</f>
        <v/>
      </c>
      <c r="C16" s="18">
        <f>IFERROR(INDEX(ResultsLog!$E$2:$E$61,AGGREGATE(15,6,(ROW(ResultsLog!$C$2:$C$61)-ROW(ResultsLog!$C$2)+1)/(ResultsLog!$C$2:$C$61=$A$2),3)),NA())</f>
        <v/>
      </c>
    </row>
    <row r="17">
      <c r="A17" s="17" t="n">
        <v>4</v>
      </c>
      <c r="B17" s="9">
        <f>IFERROR(INDEX(ResultsLog!$A$2:$A$61,AGGREGATE(15,6,(ROW(ResultsLog!$C$2:$C$61)-ROW(ResultsLog!$C$2)+1)/(ResultsLog!$C$2:$C$61=$A$2),4)),"")</f>
        <v/>
      </c>
      <c r="C17" s="18">
        <f>IFERROR(INDEX(ResultsLog!$E$2:$E$61,AGGREGATE(15,6,(ROW(ResultsLog!$C$2:$C$61)-ROW(ResultsLog!$C$2)+1)/(ResultsLog!$C$2:$C$61=$A$2),4)),NA())</f>
        <v/>
      </c>
    </row>
    <row r="18">
      <c r="A18" s="17" t="n">
        <v>5</v>
      </c>
      <c r="B18" s="9">
        <f>IFERROR(INDEX(ResultsLog!$A$2:$A$61,AGGREGATE(15,6,(ROW(ResultsLog!$C$2:$C$61)-ROW(ResultsLog!$C$2)+1)/(ResultsLog!$C$2:$C$61=$A$2),5)),"")</f>
        <v/>
      </c>
      <c r="C18" s="18">
        <f>IFERROR(INDEX(ResultsLog!$E$2:$E$61,AGGREGATE(15,6,(ROW(ResultsLog!$C$2:$C$61)-ROW(ResultsLog!$C$2)+1)/(ResultsLog!$C$2:$C$61=$A$2),5)),NA())</f>
        <v/>
      </c>
    </row>
    <row r="19">
      <c r="A19" s="17" t="n">
        <v>6</v>
      </c>
      <c r="B19" s="9">
        <f>IFERROR(INDEX(ResultsLog!$A$2:$A$61,AGGREGATE(15,6,(ROW(ResultsLog!$C$2:$C$61)-ROW(ResultsLog!$C$2)+1)/(ResultsLog!$C$2:$C$61=$A$2),6)),"")</f>
        <v/>
      </c>
      <c r="C19" s="18">
        <f>IFERROR(INDEX(ResultsLog!$E$2:$E$61,AGGREGATE(15,6,(ROW(ResultsLog!$C$2:$C$61)-ROW(ResultsLog!$C$2)+1)/(ResultsLog!$C$2:$C$61=$A$2),6)),NA())</f>
        <v/>
      </c>
    </row>
  </sheetData>
  <dataValidations count="1">
    <dataValidation sqref="A2" showDropDown="0" showInputMessage="0" showErrorMessage="0" allowBlank="0" type="list">
      <formula1>=Lists!$A$1:$A$18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Cailin</t>
        </is>
      </c>
    </row>
    <row r="2">
      <c r="A2" t="inlineStr">
        <is>
          <t>Christian</t>
        </is>
      </c>
    </row>
    <row r="3">
      <c r="A3" t="inlineStr">
        <is>
          <t>Greg</t>
        </is>
      </c>
    </row>
    <row r="4">
      <c r="A4" t="inlineStr">
        <is>
          <t>Harrison</t>
        </is>
      </c>
    </row>
    <row r="5">
      <c r="A5" t="inlineStr">
        <is>
          <t>Isaiah</t>
        </is>
      </c>
    </row>
    <row r="6">
      <c r="A6" t="inlineStr">
        <is>
          <t>Ivan</t>
        </is>
      </c>
    </row>
    <row r="7">
      <c r="A7" t="inlineStr">
        <is>
          <t>Jack</t>
        </is>
      </c>
    </row>
    <row r="8">
      <c r="A8" t="inlineStr">
        <is>
          <t>Jackson</t>
        </is>
      </c>
    </row>
    <row r="9">
      <c r="A9" t="inlineStr">
        <is>
          <t>Jake</t>
        </is>
      </c>
    </row>
    <row r="10">
      <c r="A10" t="inlineStr">
        <is>
          <t>Jorgen</t>
        </is>
      </c>
    </row>
    <row r="11">
      <c r="A11" t="inlineStr">
        <is>
          <t>Kannon</t>
        </is>
      </c>
    </row>
    <row r="12">
      <c r="A12" t="inlineStr">
        <is>
          <t>Luke</t>
        </is>
      </c>
    </row>
    <row r="13">
      <c r="A13" t="inlineStr">
        <is>
          <t>Maclane</t>
        </is>
      </c>
    </row>
    <row r="14">
      <c r="A14" t="inlineStr">
        <is>
          <t>Max</t>
        </is>
      </c>
    </row>
    <row r="15">
      <c r="A15" t="inlineStr">
        <is>
          <t>Peter</t>
        </is>
      </c>
    </row>
    <row r="16">
      <c r="A16" t="inlineStr">
        <is>
          <t>Sam</t>
        </is>
      </c>
    </row>
    <row r="17">
      <c r="A17" t="inlineStr">
        <is>
          <t>Stu</t>
        </is>
      </c>
    </row>
    <row r="18">
      <c r="A18" t="inlineStr">
        <is>
          <t>Will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2026-09-21T07:07:49Z</dcterms:created>
  <dcterms:modified xsi:type="dcterms:W3CDTF">2026-09-21T07:07:49Z</dcterms:modified>
</cp:coreProperties>
</file>